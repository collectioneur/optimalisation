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8839C6D2-11D3-4F71-947D-580CAEC5430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abela 1" sheetId="1" r:id="rId1"/>
    <sheet name="Tabela 2" sheetId="4" r:id="rId2"/>
    <sheet name="Wykres" sheetId="5" r:id="rId3"/>
    <sheet name="Tabela 3" sheetId="7" r:id="rId4"/>
    <sheet name="Symulacja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4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" i="1"/>
</calcChain>
</file>

<file path=xl/sharedStrings.xml><?xml version="1.0" encoding="utf-8"?>
<sst xmlns="http://schemas.openxmlformats.org/spreadsheetml/2006/main" count="668" uniqueCount="31">
  <si>
    <t>Współczynnik ekspansji</t>
  </si>
  <si>
    <t>Lp.</t>
  </si>
  <si>
    <r>
      <t>x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</si>
  <si>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t>Liczba wywołań funkcji celu</t>
  </si>
  <si>
    <t>a</t>
  </si>
  <si>
    <t>b</t>
  </si>
  <si>
    <t>Metoda ekspansji</t>
  </si>
  <si>
    <t>Przykład bez metody ekspansji</t>
  </si>
  <si>
    <t>Metoda Fibonacciego</t>
  </si>
  <si>
    <t>Metoda oparta na inperpolacji Lagrange'a</t>
  </si>
  <si>
    <t>x*</t>
  </si>
  <si>
    <t>y*</t>
  </si>
  <si>
    <t>b-a</t>
  </si>
  <si>
    <t>Nr iteracji</t>
  </si>
  <si>
    <t>…</t>
  </si>
  <si>
    <t>t</t>
  </si>
  <si>
    <t>Fibonacci</t>
  </si>
  <si>
    <t>Lagrange</t>
  </si>
  <si>
    <t>Rodzaj minimum</t>
  </si>
  <si>
    <t>Minimum globalne</t>
  </si>
  <si>
    <t>Minimum lokalne</t>
  </si>
  <si>
    <t>Minimum lokalne/globalne</t>
  </si>
  <si>
    <t>Brak zbieżności</t>
  </si>
  <si>
    <t>Liczba wystąpień</t>
  </si>
  <si>
    <r>
      <t>D</t>
    </r>
    <r>
      <rPr>
        <vertAlign val="subscript"/>
        <sz val="11"/>
        <color theme="1"/>
        <rFont val="Calibri"/>
        <family val="2"/>
        <charset val="238"/>
        <scheme val="minor"/>
      </rPr>
      <t>A</t>
    </r>
    <r>
      <rPr>
        <sz val="11"/>
        <color theme="1"/>
        <rFont val="Calibri"/>
        <family val="2"/>
        <charset val="238"/>
        <scheme val="minor"/>
      </rPr>
      <t>*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</si>
  <si>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A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</si>
  <si>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</si>
  <si>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r>
      <t>T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</si>
  <si>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t>globalne</t>
  </si>
  <si>
    <t>lokalne</t>
  </si>
  <si>
    <t>b -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</si>
</sst>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8" xfId="0" applyBorder="1"/>
    <xf numFmtId="0" fontId="0" fillId="0" borderId="10" xfId="0" applyBorder="1"/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0" borderId="17" xfId="0" applyBorder="1"/>
    <xf numFmtId="0" fontId="0" fillId="0" borderId="7" xfId="0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0" fontId="0" fillId="0" borderId="12" xfId="0" applyBorder="1"/>
    <xf numFmtId="0" fontId="0" fillId="0" borderId="15" xfId="0" applyBorder="1"/>
    <xf numFmtId="0" fontId="0" fillId="0" borderId="2" xfId="0" applyBorder="1"/>
    <xf numFmtId="0" fontId="0" fillId="0" borderId="2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5" xfId="0" applyBorder="1" applyAlignment="1">
      <alignment horizontal="righ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7" xfId="0" applyBorder="1" applyAlignment="1">
      <alignment horizontal="center"/>
    </xf>
    <xf numFmtId="0" fontId="0" fillId="0" borderId="21" xfId="0" applyBorder="1" applyAlignment="1">
      <alignment horizontal="center" vertical="center" wrapText="1"/>
    </xf>
    <xf numFmtId="0" fontId="0" fillId="0" borderId="34" xfId="0" applyBorder="1"/>
    <xf numFmtId="0" fontId="0" fillId="0" borderId="35" xfId="0" applyBorder="1"/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1" fontId="0" fillId="0" borderId="10" xfId="0" applyNumberFormat="1" applyBorder="1" applyAlignment="1">
      <alignment horizontal="center" vertical="center"/>
    </xf>
    <xf numFmtId="11" fontId="0" fillId="0" borderId="8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1" fontId="0" fillId="0" borderId="47" xfId="0" applyNumberForma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350" row="1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5281C89-15BD-43AF-882B-D0B2C659552F}">
  <we:reference id="wa200005228" version="1.4.1.0" store="en-001" storeType="OMEX"/>
  <we:alternateReferences>
    <we:reference id="wa200005228" version="1.4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_xldudf_EVEONLINE_ALLIANCE</we:customFunctionIds>
        <we:customFunctionIds>_xldudf_EVEONLINE_CHARACTER</we:customFunctionIds>
        <we:customFunctionIds>_xldudf_EVEONLINE_ACTIVE_CHARACTER</we:customFunctionIds>
        <we:customFunctionIds>_xldudf_EVEONLINE_CHARACTER_LP</we:customFunctionIds>
        <we:customFunctionIds>_xldudf_EVEONLINE_CHARACTER_STANDINGS</we:customFunctionIds>
        <we:customFunctionIds>_xldudf_EVEONLINE_CHARACTER_CLONES</we:customFunctionIds>
        <we:customFunctionIds>_xldudf_EVEONLINE_ROUTE</we:customFunctionIds>
        <we:customFunctionIds>_xldudf_EVEONLINE_CHARACTER_FITTINGS</we:customFunctionIds>
        <we:customFunctionIds>_xldudf_EVEONLINE_CHARACTER_PLANETS</we:customFunctionIds>
        <we:customFunctionIds>_xldudf_EVEONLINE_CHARACTER_PLANET</we:customFunctionIds>
        <we:customFunctionIds>_xldudf_EVEONLINE_CHARACTER_CORPORATION_ROLES</we:customFunctionIds>
        <we:customFunctionIds>_xldudf_EVEONLINE_CHARACTER_IMPLANTS</we:customFunctionIds>
        <we:customFunctionIds>_xldudf_EVEONLINE_CHARACTER_ASSETS</we:customFunctionIds>
        <we:customFunctionIds>_xldudf_EVEONLINE_CORPORATION_ASSETS</we:customFunctionIds>
        <we:customFunctionIds>_xldudf_EVEONLINE_CHARACTER_ORDERS</we:customFunctionIds>
        <we:customFunctionIds>_xldudf_EVEONLINE_CHARACTER_ORDERS_HISTORY</we:customFunctionIds>
        <we:customFunctionIds>_xldudf_EVEONLINE_CHARACTER_MINING</we:customFunctionIds>
        <we:customFunctionIds>_xldudf_EVEONLINE_CHARACTER_SKILLS</we:customFunctionIds>
        <we:customFunctionIds>_xldudf_EVEONLINE_CHARACTER_SKILL_QUEUE</we:customFunctionIds>
        <we:customFunctionIds>_xldudf_EVEONLINE_CHARACTER_ATTRIBUTES</we:customFunctionIds>
        <we:customFunctionIds>_xldudf_EVEONLINE_CORPORATION_CONTRACTS</we:customFunctionIds>
        <we:customFunctionIds>_xldudf_EVEONLINE_CHARACTER_CONTRACTS</we:customFunctionIds>
        <we:customFunctionIds>_xldudf_EVEONLINE_CHARACTER_WALLET_TRANSACTIONS</we:customFunctionIds>
        <we:customFunctionIds>_xldudf_EVEONLINE_CHARACTER_WALLET_JOURNAL</we:customFunctionIds>
        <we:customFunctionIds>_xldudf_EVEONLINE_CHARACTER_WALLET_BALANCE</we:customFunctionIds>
        <we:customFunctionIds>_xldudf_EVEONLINE_CHARACTER_INDUSTRY_JOBS</we:customFunctionIds>
        <we:customFunctionIds>_xldudf_EVEONLINE_CHARACTER_BLUEPRINTS</we:customFunctionIds>
        <we:customFunctionIds>_xldudf_EVEONLINE_BLUEPRINT</we:customFunctionIds>
        <we:customFunctionIds>_xldudf_EVEONLINE_BLUEPRINT_EXPLOSION</we:customFunctionIds>
        <we:customFunctionIds>_xldudf_EVEONLINE_CORPORATION</we:customFunctionIds>
        <we:customFunctionIds>_xldudf_EVEONLINE_CORPORATION_INDUSTRY_JOBS</we:customFunctionIds>
        <we:customFunctionIds>_xldudf_EVEONLINE_CORPORATION_BLUEPRINTS</we:customFunctionIds>
        <we:customFunctionIds>_xldudf_EVEONLINE_CORPORATION_MEMBERTRACKING</we:customFunctionIds>
        <we:customFunctionIds>_xldudf_EVEONLINE_CORPORATION_MINING</we:customFunctionIds>
        <we:customFunctionIds>_xldudf_EVEONLINE_CORPORATION_MINING_DETAILS</we:customFunctionIds>
        <we:customFunctionIds>_xldudf_EVEONLINE_CORPORATION_STRUCTURES</we:customFunctionIds>
        <we:customFunctionIds>_xldudf_EVEONLINE_CORPORATION_CUSTOMS_OFFICES</we:customFunctionIds>
        <we:customFunctionIds>_xldudf_EVEONLINE_CORPORATION_ORDERS</we:customFunctionIds>
        <we:customFunctionIds>_xldudf_EVEONLINE_CORPORATION_ORDERS_HISTORY</we:customFunctionIds>
        <we:customFunctionIds>_xldudf_EVEONLINE_CORPORATION_WALLET_TRANSACTIONS</we:customFunctionIds>
        <we:customFunctionIds>_xldudf_EVEONLINE_CORPORATION_WALLET_JOURNAL</we:customFunctionIds>
        <we:customFunctionIds>_xldudf_EVEONLINE_CORPORATION_WALLETS</we:customFunctionIds>
        <we:customFunctionIds>_xldudf_EVEONLINE_CATEGORY</we:customFunctionIds>
        <we:customFunctionIds>_xldudf_EVEONLINE_GROUP</we:customFunctionIds>
        <we:customFunctionIds>_xldudf_EVEONLINE_CONSTELLATION</we:customFunctionIds>
        <we:customFunctionIds>_xldudf_EVEONLINE_REGION</we:customFunctionIds>
        <we:customFunctionIds>_xldudf_EVEONLINE_SOLARSYSTEM</we:customFunctionIds>
        <we:customFunctionIds>_xldudf_EVEONLINE_INDUSTRYINDEX</we:customFunctionIds>
        <we:customFunctionIds>_xldudf_EVEONLINE_SEARCHSTATIONS</we:customFunctionIds>
        <we:customFunctionIds>_xldudf_EVEONLINE_SEARCHSOLARSYSTEM</we:customFunctionIds>
        <we:customFunctionIds>_xldudf_EVEONLINE_SEARCHREGION</we:customFunctionIds>
        <we:customFunctionIds>_xldudf_EVEONLINE_STATION</we:customFunctionIds>
        <we:customFunctionIds>_xldudf_EVEONLINE_SCHEMATIC</we:customFunctionIds>
        <we:customFunctionIds>_xldudf_EVEONLINE_STRUCTURE</we:customFunctionIds>
        <we:customFunctionIds>_xldudf_EVEONLINE_TYPE</we:customFunctionIds>
        <we:customFunctionIds>_xldudf_EVEONLINE_INVENTORYSEARCH</we:customFunctionIds>
        <we:customFunctionIds>_xldudf_EVEONLINE_CHARACTERSEARCH</we:customFunctionIds>
        <we:customFunctionIds>_xldudf_EVEONLINE_CORPORATIONSEARCH</we:customFunctionIds>
        <we:customFunctionIds>_xldudf_EVEONLINE_ALLIANCESEARCH</we:customFunctionIds>
        <we:customFunctionIds>_xldudf_EVEONLINE_STRUCTURESEARCH</we:customFunctionIds>
        <we:customFunctionIds>_xldudf_EVEONLINE_MARKET_ORDERS_STATS</we:customFunctionIds>
        <we:customFunctionIds>_xldudf_EVEONLINE_MARKET_ORDERS</we:customFunctionIds>
        <we:customFunctionIds>_xldudf_EVEONLINE_MARKET_HISTORY</we:customFunctionIds>
        <we:customFunctionIds>_xldudf_EVEONLINE_MARKET_ORDERS_STREAMING</we:customFunctionIds>
        <we:customFunctionIds>_xldudf_EVEONLINE_MARKET_STRUCTURE_ORDERS</we:customFunctionIds>
        <we:customFunctionIds>_xldudf_EVEONLINE_MARKET_STRUCTURE_ORDERS_STATS</we:customFunctionIds>
        <we:customFunctionIds>_xldudf_EVEONLINE_MARKET_STRUCTURE_ORDERS_STREAMING</we:customFunctionIds>
        <we:customFunctionIds>_xldudf_EVEONLINE_WARS</we:customFunctionIds>
        <we:customFunctionIds>_xldudf_EVEONLINE_WAR</we:customFunctionIds>
        <we:customFunctionIds>_xldudf_EVEONLINE_WAR_KILLMAILS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6D3B9293-6228-43D8-8D41-7CB82988FB2C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F06701D-D159-4579-BE89-6D707A8945B5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NKhGZFTz8rhrh3tZ-X8Qc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4"/>
  <sheetViews>
    <sheetView zoomScale="85" zoomScaleNormal="85" workbookViewId="0">
      <selection activeCell="O3" sqref="O3:O202"/>
    </sheetView>
  </sheetViews>
  <sheetFormatPr defaultRowHeight="15" x14ac:dyDescent="0.25"/>
  <cols>
    <col min="1" max="1" width="15.7109375" customWidth="1"/>
    <col min="2" max="2" width="5.7109375" customWidth="1"/>
    <col min="3" max="14" width="17.7109375" customWidth="1"/>
  </cols>
  <sheetData>
    <row r="1" spans="1:16" ht="30" customHeight="1" thickBot="1" x14ac:dyDescent="0.3">
      <c r="A1" s="42" t="s">
        <v>6</v>
      </c>
      <c r="B1" s="43"/>
      <c r="C1" s="43"/>
      <c r="D1" s="43"/>
      <c r="E1" s="43"/>
      <c r="F1" s="74"/>
      <c r="G1" s="42" t="s">
        <v>8</v>
      </c>
      <c r="H1" s="43"/>
      <c r="I1" s="74"/>
      <c r="J1" s="75"/>
      <c r="K1" s="76" t="s">
        <v>9</v>
      </c>
      <c r="L1" s="77"/>
      <c r="M1" s="78"/>
      <c r="N1" s="79"/>
    </row>
    <row r="2" spans="1:16" ht="30" customHeight="1" thickBot="1" x14ac:dyDescent="0.3">
      <c r="A2" s="70" t="s">
        <v>0</v>
      </c>
      <c r="B2" s="67" t="s">
        <v>1</v>
      </c>
      <c r="C2" s="67" t="s">
        <v>2</v>
      </c>
      <c r="D2" s="71" t="s">
        <v>4</v>
      </c>
      <c r="E2" s="71" t="s">
        <v>5</v>
      </c>
      <c r="F2" s="72" t="s">
        <v>3</v>
      </c>
      <c r="G2" s="41" t="s">
        <v>10</v>
      </c>
      <c r="H2" s="67" t="s">
        <v>11</v>
      </c>
      <c r="I2" s="73" t="s">
        <v>3</v>
      </c>
      <c r="J2" s="72" t="s">
        <v>21</v>
      </c>
      <c r="K2" s="41" t="s">
        <v>10</v>
      </c>
      <c r="L2" s="67" t="s">
        <v>11</v>
      </c>
      <c r="M2" s="73" t="s">
        <v>3</v>
      </c>
      <c r="N2" s="72" t="s">
        <v>21</v>
      </c>
      <c r="O2" s="80" t="s">
        <v>30</v>
      </c>
      <c r="P2" s="80"/>
    </row>
    <row r="3" spans="1:16" x14ac:dyDescent="0.25">
      <c r="A3" s="36">
        <v>1.2</v>
      </c>
      <c r="B3" s="4">
        <v>1</v>
      </c>
      <c r="C3" s="36">
        <v>-17</v>
      </c>
      <c r="D3" s="36">
        <v>-1.5929800000000001</v>
      </c>
      <c r="E3" s="36">
        <v>5.1861100000000002</v>
      </c>
      <c r="F3" s="36">
        <v>19</v>
      </c>
      <c r="G3" s="37">
        <v>-1.6636499999999999E-5</v>
      </c>
      <c r="H3" s="37">
        <v>5.5283000000000003E-15</v>
      </c>
      <c r="I3" s="36">
        <v>25</v>
      </c>
      <c r="J3" s="36" t="s">
        <v>29</v>
      </c>
      <c r="K3" s="37">
        <v>4.31319E-13</v>
      </c>
      <c r="L3" s="37">
        <v>-7.15717E-18</v>
      </c>
      <c r="M3" s="36">
        <v>8</v>
      </c>
      <c r="N3" s="36" t="s">
        <v>29</v>
      </c>
      <c r="O3">
        <f>E3-D3</f>
        <v>6.7790900000000001</v>
      </c>
    </row>
    <row r="4" spans="1:16" x14ac:dyDescent="0.25">
      <c r="A4" s="34">
        <v>1.2</v>
      </c>
      <c r="B4" s="1">
        <v>2</v>
      </c>
      <c r="C4" s="34">
        <v>-57</v>
      </c>
      <c r="D4" s="34">
        <v>-10.994899999999999</v>
      </c>
      <c r="E4" s="34">
        <v>9.2473700000000001</v>
      </c>
      <c r="F4" s="34">
        <v>25</v>
      </c>
      <c r="G4" s="35">
        <v>4.6962200000000002E-5</v>
      </c>
      <c r="H4" s="35">
        <v>4.41018E-14</v>
      </c>
      <c r="I4" s="34">
        <v>28</v>
      </c>
      <c r="J4" s="34" t="s">
        <v>29</v>
      </c>
      <c r="K4" s="35">
        <v>4.7747999999999999E-11</v>
      </c>
      <c r="L4" s="35">
        <v>-7.15717E-18</v>
      </c>
      <c r="M4" s="34">
        <v>8</v>
      </c>
      <c r="N4" s="34" t="s">
        <v>29</v>
      </c>
      <c r="O4">
        <f t="shared" ref="O4:O67" si="0">E4-D4</f>
        <v>20.242269999999998</v>
      </c>
    </row>
    <row r="5" spans="1:16" x14ac:dyDescent="0.25">
      <c r="A5" s="34">
        <v>1.2</v>
      </c>
      <c r="B5" s="1">
        <v>3</v>
      </c>
      <c r="C5" s="34">
        <v>72</v>
      </c>
      <c r="D5" s="34">
        <v>61.300699999999999</v>
      </c>
      <c r="E5" s="34">
        <v>64.569900000000004</v>
      </c>
      <c r="F5" s="34">
        <v>16</v>
      </c>
      <c r="G5" s="34">
        <v>62.748100000000001</v>
      </c>
      <c r="H5" s="34">
        <v>-0.92114799999999997</v>
      </c>
      <c r="I5" s="34">
        <v>24</v>
      </c>
      <c r="J5" s="34" t="s">
        <v>28</v>
      </c>
      <c r="K5" s="34">
        <v>62.746699999999997</v>
      </c>
      <c r="L5" s="34">
        <v>-0.92114799999999997</v>
      </c>
      <c r="M5" s="34">
        <v>11</v>
      </c>
      <c r="N5" s="34" t="s">
        <v>28</v>
      </c>
      <c r="O5">
        <f t="shared" si="0"/>
        <v>3.269200000000005</v>
      </c>
    </row>
    <row r="6" spans="1:16" x14ac:dyDescent="0.25">
      <c r="A6" s="34">
        <v>1.2</v>
      </c>
      <c r="B6" s="1">
        <v>4</v>
      </c>
      <c r="C6" s="34">
        <v>-82</v>
      </c>
      <c r="D6" s="34">
        <v>-15.752599999999999</v>
      </c>
      <c r="E6" s="34">
        <v>13.3962</v>
      </c>
      <c r="F6" s="34">
        <v>27</v>
      </c>
      <c r="G6" s="35">
        <v>8.9928300000000004E-5</v>
      </c>
      <c r="H6" s="35">
        <v>1.6173499999999999E-13</v>
      </c>
      <c r="I6" s="34">
        <v>28</v>
      </c>
      <c r="J6" s="34" t="s">
        <v>29</v>
      </c>
      <c r="K6" s="35">
        <v>8.4151699999999998E-10</v>
      </c>
      <c r="L6" s="35">
        <v>-7.1571500000000005E-18</v>
      </c>
      <c r="M6" s="34">
        <v>8</v>
      </c>
      <c r="N6" s="34" t="s">
        <v>29</v>
      </c>
      <c r="O6">
        <f t="shared" si="0"/>
        <v>29.148800000000001</v>
      </c>
    </row>
    <row r="7" spans="1:16" x14ac:dyDescent="0.25">
      <c r="A7" s="34">
        <v>1.2</v>
      </c>
      <c r="B7" s="1">
        <v>5</v>
      </c>
      <c r="C7" s="34">
        <v>-8</v>
      </c>
      <c r="D7" s="34">
        <v>-1.80826</v>
      </c>
      <c r="E7" s="34">
        <v>0.91610000000000003</v>
      </c>
      <c r="F7" s="34">
        <v>14</v>
      </c>
      <c r="G7" s="35">
        <v>7.2616599999999999E-5</v>
      </c>
      <c r="H7" s="35">
        <v>1.05456E-13</v>
      </c>
      <c r="I7" s="34">
        <v>23</v>
      </c>
      <c r="J7" s="34" t="s">
        <v>29</v>
      </c>
      <c r="K7" s="35">
        <v>2.5202000000000002E-13</v>
      </c>
      <c r="L7" s="35">
        <v>-7.15717E-18</v>
      </c>
      <c r="M7" s="34">
        <v>8</v>
      </c>
      <c r="N7" s="34" t="s">
        <v>29</v>
      </c>
      <c r="O7">
        <f t="shared" si="0"/>
        <v>2.7243599999999999</v>
      </c>
    </row>
    <row r="8" spans="1:16" x14ac:dyDescent="0.25">
      <c r="A8" s="34">
        <v>1.2</v>
      </c>
      <c r="B8" s="1">
        <v>6</v>
      </c>
      <c r="C8" s="34">
        <v>-22</v>
      </c>
      <c r="D8" s="34">
        <v>-3.5115699999999999</v>
      </c>
      <c r="E8" s="34">
        <v>4.6233300000000002</v>
      </c>
      <c r="F8" s="34">
        <v>20</v>
      </c>
      <c r="G8" s="35">
        <v>-6.0145400000000002E-5</v>
      </c>
      <c r="H8" s="35">
        <v>7.23423E-14</v>
      </c>
      <c r="I8" s="34">
        <v>26</v>
      </c>
      <c r="J8" s="34" t="s">
        <v>29</v>
      </c>
      <c r="K8" s="35">
        <v>2.8519900000000001E-13</v>
      </c>
      <c r="L8" s="35">
        <v>-7.15717E-18</v>
      </c>
      <c r="M8" s="34">
        <v>8</v>
      </c>
      <c r="N8" s="34" t="s">
        <v>29</v>
      </c>
      <c r="O8">
        <f t="shared" si="0"/>
        <v>8.1349</v>
      </c>
    </row>
    <row r="9" spans="1:16" x14ac:dyDescent="0.25">
      <c r="A9" s="34">
        <v>1.2</v>
      </c>
      <c r="B9" s="1">
        <v>7</v>
      </c>
      <c r="C9" s="34">
        <v>63</v>
      </c>
      <c r="D9" s="34">
        <v>62</v>
      </c>
      <c r="E9" s="34">
        <v>64</v>
      </c>
      <c r="F9" s="34">
        <v>3</v>
      </c>
      <c r="G9" s="34">
        <v>62.748100000000001</v>
      </c>
      <c r="H9" s="34">
        <v>-0.92114799999999997</v>
      </c>
      <c r="I9" s="34">
        <v>23</v>
      </c>
      <c r="J9" s="34" t="s">
        <v>28</v>
      </c>
      <c r="K9" s="34">
        <v>62.747599999999998</v>
      </c>
      <c r="L9" s="34">
        <v>-0.92114799999999997</v>
      </c>
      <c r="M9" s="34">
        <v>11</v>
      </c>
      <c r="N9" s="34" t="s">
        <v>28</v>
      </c>
      <c r="O9">
        <f t="shared" si="0"/>
        <v>2</v>
      </c>
    </row>
    <row r="10" spans="1:16" x14ac:dyDescent="0.25">
      <c r="A10" s="34">
        <v>1.2</v>
      </c>
      <c r="B10" s="1">
        <v>8</v>
      </c>
      <c r="C10" s="34">
        <v>97</v>
      </c>
      <c r="D10" s="34">
        <v>58.662399999999998</v>
      </c>
      <c r="E10" s="34">
        <v>70.3767</v>
      </c>
      <c r="F10" s="34">
        <v>23</v>
      </c>
      <c r="G10" s="34">
        <v>62.748100000000001</v>
      </c>
      <c r="H10" s="34">
        <v>-0.92114799999999997</v>
      </c>
      <c r="I10" s="34">
        <v>26</v>
      </c>
      <c r="J10" s="34" t="s">
        <v>28</v>
      </c>
      <c r="K10" s="34">
        <v>62.748199999999997</v>
      </c>
      <c r="L10" s="34">
        <v>-0.92114799999999997</v>
      </c>
      <c r="M10" s="34">
        <v>24</v>
      </c>
      <c r="N10" s="34" t="s">
        <v>28</v>
      </c>
      <c r="O10">
        <f t="shared" si="0"/>
        <v>11.714300000000001</v>
      </c>
    </row>
    <row r="11" spans="1:16" x14ac:dyDescent="0.25">
      <c r="A11" s="34">
        <v>1.2</v>
      </c>
      <c r="B11" s="1">
        <v>9</v>
      </c>
      <c r="C11" s="34">
        <v>-8</v>
      </c>
      <c r="D11" s="34">
        <v>-1.80826</v>
      </c>
      <c r="E11" s="34">
        <v>0.91610000000000003</v>
      </c>
      <c r="F11" s="34">
        <v>14</v>
      </c>
      <c r="G11" s="35">
        <v>7.2616599999999999E-5</v>
      </c>
      <c r="H11" s="35">
        <v>1.05456E-13</v>
      </c>
      <c r="I11" s="34">
        <v>23</v>
      </c>
      <c r="J11" s="34" t="s">
        <v>29</v>
      </c>
      <c r="K11" s="35">
        <v>2.5202000000000002E-13</v>
      </c>
      <c r="L11" s="35">
        <v>-7.15717E-18</v>
      </c>
      <c r="M11" s="34">
        <v>8</v>
      </c>
      <c r="N11" s="34" t="s">
        <v>29</v>
      </c>
      <c r="O11">
        <f t="shared" si="0"/>
        <v>2.7243599999999999</v>
      </c>
    </row>
    <row r="12" spans="1:16" x14ac:dyDescent="0.25">
      <c r="A12" s="34">
        <v>1.2</v>
      </c>
      <c r="B12" s="1">
        <v>10</v>
      </c>
      <c r="C12" s="34">
        <v>54</v>
      </c>
      <c r="D12" s="34">
        <v>61.430100000000003</v>
      </c>
      <c r="E12" s="34">
        <v>64.699299999999994</v>
      </c>
      <c r="F12" s="34">
        <v>15</v>
      </c>
      <c r="G12" s="34">
        <v>62.748199999999997</v>
      </c>
      <c r="H12" s="34">
        <v>-0.92114799999999997</v>
      </c>
      <c r="I12" s="34">
        <v>24</v>
      </c>
      <c r="J12" s="34" t="s">
        <v>28</v>
      </c>
      <c r="K12" s="34">
        <v>62.748199999999997</v>
      </c>
      <c r="L12" s="34">
        <v>-0.92114799999999997</v>
      </c>
      <c r="M12" s="34">
        <v>16</v>
      </c>
      <c r="N12" s="34" t="s">
        <v>28</v>
      </c>
      <c r="O12">
        <f t="shared" si="0"/>
        <v>3.2691999999999908</v>
      </c>
    </row>
    <row r="13" spans="1:16" x14ac:dyDescent="0.25">
      <c r="A13" s="34">
        <v>1.2</v>
      </c>
      <c r="B13" s="1">
        <v>11</v>
      </c>
      <c r="C13" s="34">
        <v>-52</v>
      </c>
      <c r="D13" s="34">
        <v>-5.9948800000000002</v>
      </c>
      <c r="E13" s="34">
        <v>14.247400000000001</v>
      </c>
      <c r="F13" s="34">
        <v>25</v>
      </c>
      <c r="G13" s="35">
        <v>3.9642799999999999E-5</v>
      </c>
      <c r="H13" s="35">
        <v>3.1423899999999999E-14</v>
      </c>
      <c r="I13" s="34">
        <v>28</v>
      </c>
      <c r="J13" s="34" t="s">
        <v>29</v>
      </c>
      <c r="K13" s="35">
        <v>3.5309900000000001E-12</v>
      </c>
      <c r="L13" s="35">
        <v>-7.15717E-18</v>
      </c>
      <c r="M13" s="34">
        <v>8</v>
      </c>
      <c r="N13" s="34" t="s">
        <v>29</v>
      </c>
      <c r="O13">
        <f t="shared" si="0"/>
        <v>20.242280000000001</v>
      </c>
    </row>
    <row r="14" spans="1:16" x14ac:dyDescent="0.25">
      <c r="A14" s="34">
        <v>1.2</v>
      </c>
      <c r="B14" s="1">
        <v>12</v>
      </c>
      <c r="C14" s="34">
        <v>62</v>
      </c>
      <c r="D14" s="34">
        <v>62</v>
      </c>
      <c r="E14" s="34">
        <v>63.2</v>
      </c>
      <c r="F14" s="34">
        <v>3</v>
      </c>
      <c r="G14" s="34">
        <v>62.748199999999997</v>
      </c>
      <c r="H14" s="34">
        <v>-0.92114799999999997</v>
      </c>
      <c r="I14" s="34">
        <v>22</v>
      </c>
      <c r="J14" s="34" t="s">
        <v>28</v>
      </c>
      <c r="K14" s="34">
        <v>62.748199999999997</v>
      </c>
      <c r="L14" s="34">
        <v>-0.92114799999999997</v>
      </c>
      <c r="M14" s="34">
        <v>12</v>
      </c>
      <c r="N14" s="34" t="s">
        <v>28</v>
      </c>
      <c r="O14">
        <f t="shared" si="0"/>
        <v>1.2000000000000028</v>
      </c>
    </row>
    <row r="15" spans="1:16" x14ac:dyDescent="0.25">
      <c r="A15" s="34">
        <v>1.2</v>
      </c>
      <c r="B15" s="1">
        <v>13</v>
      </c>
      <c r="C15" s="34">
        <v>-12</v>
      </c>
      <c r="D15" s="34">
        <v>-1.3006800000000001</v>
      </c>
      <c r="E15" s="34">
        <v>3.4070200000000002</v>
      </c>
      <c r="F15" s="34">
        <v>17</v>
      </c>
      <c r="G15" s="35">
        <v>1.3901400000000001E-6</v>
      </c>
      <c r="H15" s="35">
        <v>3.1492600000000001E-17</v>
      </c>
      <c r="I15" s="34">
        <v>25</v>
      </c>
      <c r="J15" s="34" t="s">
        <v>29</v>
      </c>
      <c r="K15" s="35">
        <v>3.0272899999999999E-13</v>
      </c>
      <c r="L15" s="35">
        <v>-7.15717E-18</v>
      </c>
      <c r="M15" s="34">
        <v>8</v>
      </c>
      <c r="N15" s="34" t="s">
        <v>29</v>
      </c>
      <c r="O15">
        <f t="shared" si="0"/>
        <v>4.7077</v>
      </c>
    </row>
    <row r="16" spans="1:16" x14ac:dyDescent="0.25">
      <c r="A16" s="34">
        <v>1.2</v>
      </c>
      <c r="B16" s="1">
        <v>14</v>
      </c>
      <c r="C16" s="34">
        <v>8</v>
      </c>
      <c r="D16" s="34">
        <v>-0.91610000000000003</v>
      </c>
      <c r="E16" s="34">
        <v>1.80826</v>
      </c>
      <c r="F16" s="34">
        <v>15</v>
      </c>
      <c r="G16" s="35">
        <v>-7.2616599999999999E-5</v>
      </c>
      <c r="H16" s="35">
        <v>1.05456E-13</v>
      </c>
      <c r="I16" s="34">
        <v>23</v>
      </c>
      <c r="J16" s="34" t="s">
        <v>29</v>
      </c>
      <c r="K16" s="35">
        <v>2.45285E-13</v>
      </c>
      <c r="L16" s="35">
        <v>-7.15717E-18</v>
      </c>
      <c r="M16" s="34">
        <v>8</v>
      </c>
      <c r="N16" s="34" t="s">
        <v>29</v>
      </c>
      <c r="O16">
        <f t="shared" si="0"/>
        <v>2.7243599999999999</v>
      </c>
    </row>
    <row r="17" spans="1:15" x14ac:dyDescent="0.25">
      <c r="A17" s="34">
        <v>1.2</v>
      </c>
      <c r="B17" s="1">
        <v>15</v>
      </c>
      <c r="C17" s="34">
        <v>32</v>
      </c>
      <c r="D17" s="34">
        <v>-6.3376000000000001</v>
      </c>
      <c r="E17" s="34">
        <v>5.3766699999999998</v>
      </c>
      <c r="F17" s="34">
        <v>23</v>
      </c>
      <c r="G17" s="35">
        <v>-9.6075899999999999E-5</v>
      </c>
      <c r="H17" s="35">
        <v>1.84605E-13</v>
      </c>
      <c r="I17" s="34">
        <v>26</v>
      </c>
      <c r="J17" s="34" t="s">
        <v>29</v>
      </c>
      <c r="K17" s="35">
        <v>1.6625200000000001E-12</v>
      </c>
      <c r="L17" s="35">
        <v>-7.15717E-18</v>
      </c>
      <c r="M17" s="34">
        <v>8</v>
      </c>
      <c r="N17" s="34" t="s">
        <v>29</v>
      </c>
      <c r="O17">
        <f t="shared" si="0"/>
        <v>11.714269999999999</v>
      </c>
    </row>
    <row r="18" spans="1:15" x14ac:dyDescent="0.25">
      <c r="A18" s="34">
        <v>1.2</v>
      </c>
      <c r="B18" s="1">
        <v>16</v>
      </c>
      <c r="C18" s="34">
        <v>44</v>
      </c>
      <c r="D18" s="34">
        <v>-11.206099999999999</v>
      </c>
      <c r="E18" s="34">
        <v>5.6623999999999999</v>
      </c>
      <c r="F18" s="34">
        <v>25</v>
      </c>
      <c r="G18" s="35">
        <v>6.1210999999999994E-5</v>
      </c>
      <c r="H18" s="35">
        <v>7.4928600000000002E-14</v>
      </c>
      <c r="I18" s="34">
        <v>27</v>
      </c>
      <c r="J18" s="34" t="s">
        <v>29</v>
      </c>
      <c r="K18" s="35">
        <v>7.8609700000000002E-12</v>
      </c>
      <c r="L18" s="35">
        <v>-7.15717E-18</v>
      </c>
      <c r="M18" s="34">
        <v>8</v>
      </c>
      <c r="N18" s="34" t="s">
        <v>29</v>
      </c>
      <c r="O18">
        <f t="shared" si="0"/>
        <v>16.868499999999997</v>
      </c>
    </row>
    <row r="19" spans="1:15" x14ac:dyDescent="0.25">
      <c r="A19" s="34">
        <v>1.2</v>
      </c>
      <c r="B19" s="1">
        <v>17</v>
      </c>
      <c r="C19" s="34">
        <v>80</v>
      </c>
      <c r="D19" s="34">
        <v>57.813899999999997</v>
      </c>
      <c r="E19" s="34">
        <v>64.593000000000004</v>
      </c>
      <c r="F19" s="34">
        <v>20</v>
      </c>
      <c r="G19" s="34">
        <v>62.748100000000001</v>
      </c>
      <c r="H19" s="34">
        <v>-0.92114799999999997</v>
      </c>
      <c r="I19" s="34">
        <v>25</v>
      </c>
      <c r="J19" s="34" t="s">
        <v>28</v>
      </c>
      <c r="K19" s="34">
        <v>62.748199999999997</v>
      </c>
      <c r="L19" s="34">
        <v>-0.92114799999999997</v>
      </c>
      <c r="M19" s="34">
        <v>20</v>
      </c>
      <c r="N19" s="34" t="s">
        <v>28</v>
      </c>
      <c r="O19">
        <f t="shared" si="0"/>
        <v>6.7791000000000068</v>
      </c>
    </row>
    <row r="20" spans="1:15" x14ac:dyDescent="0.25">
      <c r="A20" s="34">
        <v>1.2</v>
      </c>
      <c r="B20" s="1">
        <v>18</v>
      </c>
      <c r="C20" s="34">
        <v>-16</v>
      </c>
      <c r="D20" s="34">
        <v>-3.1608200000000002</v>
      </c>
      <c r="E20" s="34">
        <v>2.4884300000000001</v>
      </c>
      <c r="F20" s="34">
        <v>18</v>
      </c>
      <c r="G20" s="35">
        <v>1.13609E-5</v>
      </c>
      <c r="H20" s="35">
        <v>2.5742199999999999E-15</v>
      </c>
      <c r="I20" s="34">
        <v>25</v>
      </c>
      <c r="J20" s="34" t="s">
        <v>29</v>
      </c>
      <c r="K20" s="35">
        <v>3.3128400000000001E-13</v>
      </c>
      <c r="L20" s="35">
        <v>-7.15717E-18</v>
      </c>
      <c r="M20" s="34">
        <v>8</v>
      </c>
      <c r="N20" s="34" t="s">
        <v>29</v>
      </c>
      <c r="O20">
        <f t="shared" si="0"/>
        <v>5.6492500000000003</v>
      </c>
    </row>
    <row r="21" spans="1:15" x14ac:dyDescent="0.25">
      <c r="A21" s="34">
        <v>1.2</v>
      </c>
      <c r="B21" s="1">
        <v>19</v>
      </c>
      <c r="C21" s="34">
        <v>89</v>
      </c>
      <c r="D21" s="34">
        <v>57.052</v>
      </c>
      <c r="E21" s="34">
        <v>66.813900000000004</v>
      </c>
      <c r="F21" s="34">
        <v>22</v>
      </c>
      <c r="G21" s="34">
        <v>62.748100000000001</v>
      </c>
      <c r="H21" s="34">
        <v>-0.92114799999999997</v>
      </c>
      <c r="I21" s="34">
        <v>26</v>
      </c>
      <c r="J21" s="34" t="s">
        <v>28</v>
      </c>
      <c r="K21" s="34">
        <v>62.748199999999997</v>
      </c>
      <c r="L21" s="34">
        <v>-0.92114799999999997</v>
      </c>
      <c r="M21" s="34">
        <v>20</v>
      </c>
      <c r="N21" s="34" t="s">
        <v>28</v>
      </c>
      <c r="O21">
        <f t="shared" si="0"/>
        <v>9.7619000000000042</v>
      </c>
    </row>
    <row r="22" spans="1:15" x14ac:dyDescent="0.25">
      <c r="A22" s="34">
        <v>1.2</v>
      </c>
      <c r="B22" s="1">
        <v>20</v>
      </c>
      <c r="C22" s="34">
        <v>11</v>
      </c>
      <c r="D22" s="34">
        <v>-1.83918</v>
      </c>
      <c r="E22" s="34">
        <v>2.0838999999999999</v>
      </c>
      <c r="F22" s="34">
        <v>17</v>
      </c>
      <c r="G22" s="35">
        <v>5.7198499999999998E-5</v>
      </c>
      <c r="H22" s="35">
        <v>6.5426199999999995E-14</v>
      </c>
      <c r="I22" s="34">
        <v>24</v>
      </c>
      <c r="J22" s="34" t="s">
        <v>29</v>
      </c>
      <c r="K22" s="35">
        <v>2.3303700000000002E-13</v>
      </c>
      <c r="L22" s="35">
        <v>-7.15717E-18</v>
      </c>
      <c r="M22" s="34">
        <v>8</v>
      </c>
      <c r="N22" s="34" t="s">
        <v>29</v>
      </c>
      <c r="O22">
        <f t="shared" si="0"/>
        <v>3.9230799999999997</v>
      </c>
    </row>
    <row r="23" spans="1:15" x14ac:dyDescent="0.25">
      <c r="A23" s="34">
        <v>1.2</v>
      </c>
      <c r="B23" s="1">
        <v>21</v>
      </c>
      <c r="C23" s="34">
        <v>81</v>
      </c>
      <c r="D23" s="34">
        <v>58.813899999999997</v>
      </c>
      <c r="E23" s="34">
        <v>65.593000000000004</v>
      </c>
      <c r="F23" s="34">
        <v>20</v>
      </c>
      <c r="G23" s="34">
        <v>62.748199999999997</v>
      </c>
      <c r="H23" s="34">
        <v>-0.92114799999999997</v>
      </c>
      <c r="I23" s="34">
        <v>25</v>
      </c>
      <c r="J23" s="34" t="s">
        <v>28</v>
      </c>
      <c r="K23" s="34">
        <v>62.748199999999997</v>
      </c>
      <c r="L23" s="34">
        <v>-0.92114799999999997</v>
      </c>
      <c r="M23" s="34">
        <v>20</v>
      </c>
      <c r="N23" s="34" t="s">
        <v>28</v>
      </c>
      <c r="O23">
        <f t="shared" si="0"/>
        <v>6.7791000000000068</v>
      </c>
    </row>
    <row r="24" spans="1:15" x14ac:dyDescent="0.25">
      <c r="A24" s="34">
        <v>1.2</v>
      </c>
      <c r="B24" s="1">
        <v>22</v>
      </c>
      <c r="C24" s="34">
        <v>10</v>
      </c>
      <c r="D24" s="34">
        <v>-2.8391799999999998</v>
      </c>
      <c r="E24" s="34">
        <v>1.0839000000000001</v>
      </c>
      <c r="F24" s="34">
        <v>17</v>
      </c>
      <c r="G24" s="35">
        <v>3.4168100000000002E-5</v>
      </c>
      <c r="H24" s="35">
        <v>2.3342000000000001E-14</v>
      </c>
      <c r="I24" s="34">
        <v>24</v>
      </c>
      <c r="J24" s="34" t="s">
        <v>29</v>
      </c>
      <c r="K24" s="35">
        <v>2.8508499999999999E-13</v>
      </c>
      <c r="L24" s="35">
        <v>-7.15717E-18</v>
      </c>
      <c r="M24" s="34">
        <v>8</v>
      </c>
      <c r="N24" s="34" t="s">
        <v>29</v>
      </c>
      <c r="O24">
        <f t="shared" si="0"/>
        <v>3.9230799999999997</v>
      </c>
    </row>
    <row r="25" spans="1:15" x14ac:dyDescent="0.25">
      <c r="A25" s="34">
        <v>1.2</v>
      </c>
      <c r="B25" s="1">
        <v>23</v>
      </c>
      <c r="C25" s="34">
        <v>92</v>
      </c>
      <c r="D25" s="34">
        <v>60.052</v>
      </c>
      <c r="E25" s="34">
        <v>69.813900000000004</v>
      </c>
      <c r="F25" s="34">
        <v>22</v>
      </c>
      <c r="G25" s="34">
        <v>62.748100000000001</v>
      </c>
      <c r="H25" s="34">
        <v>-0.92114799999999997</v>
      </c>
      <c r="I25" s="34">
        <v>26</v>
      </c>
      <c r="J25" s="34" t="s">
        <v>28</v>
      </c>
      <c r="K25" s="34">
        <v>62.748199999999997</v>
      </c>
      <c r="L25" s="34">
        <v>-0.92114799999999997</v>
      </c>
      <c r="M25" s="34">
        <v>20</v>
      </c>
      <c r="N25" s="34" t="s">
        <v>28</v>
      </c>
      <c r="O25">
        <f t="shared" si="0"/>
        <v>9.7619000000000042</v>
      </c>
    </row>
    <row r="26" spans="1:15" x14ac:dyDescent="0.25">
      <c r="A26" s="34">
        <v>1.2</v>
      </c>
      <c r="B26" s="1">
        <v>24</v>
      </c>
      <c r="C26" s="34">
        <v>-26</v>
      </c>
      <c r="D26" s="34">
        <v>-3.8138899999999998</v>
      </c>
      <c r="E26" s="34">
        <v>5.9480000000000004</v>
      </c>
      <c r="F26" s="34">
        <v>21</v>
      </c>
      <c r="G26" s="35">
        <v>-5.9284499999999998E-5</v>
      </c>
      <c r="H26" s="35">
        <v>7.0285799999999995E-14</v>
      </c>
      <c r="I26" s="34">
        <v>26</v>
      </c>
      <c r="J26" s="34" t="s">
        <v>29</v>
      </c>
      <c r="K26" s="35">
        <v>3.7145E-13</v>
      </c>
      <c r="L26" s="35">
        <v>-7.15717E-18</v>
      </c>
      <c r="M26" s="34">
        <v>8</v>
      </c>
      <c r="N26" s="34" t="s">
        <v>29</v>
      </c>
      <c r="O26">
        <f t="shared" si="0"/>
        <v>9.7618900000000011</v>
      </c>
    </row>
    <row r="27" spans="1:15" x14ac:dyDescent="0.25">
      <c r="A27" s="34">
        <v>1.2</v>
      </c>
      <c r="B27" s="1">
        <v>25</v>
      </c>
      <c r="C27" s="34">
        <v>-27</v>
      </c>
      <c r="D27" s="34">
        <v>-4.8138899999999998</v>
      </c>
      <c r="E27" s="34">
        <v>4.9480000000000004</v>
      </c>
      <c r="F27" s="34">
        <v>21</v>
      </c>
      <c r="G27" s="35">
        <v>6.9321599999999997E-5</v>
      </c>
      <c r="H27" s="35">
        <v>9.6102500000000006E-14</v>
      </c>
      <c r="I27" s="34">
        <v>26</v>
      </c>
      <c r="J27" s="34" t="s">
        <v>29</v>
      </c>
      <c r="K27" s="35">
        <v>2.31695E-13</v>
      </c>
      <c r="L27" s="35">
        <v>-7.15717E-18</v>
      </c>
      <c r="M27" s="34">
        <v>8</v>
      </c>
      <c r="N27" s="34" t="s">
        <v>29</v>
      </c>
      <c r="O27">
        <f t="shared" si="0"/>
        <v>9.7618900000000011</v>
      </c>
    </row>
    <row r="28" spans="1:15" x14ac:dyDescent="0.25">
      <c r="A28" s="34">
        <v>1.2</v>
      </c>
      <c r="B28" s="1">
        <v>26</v>
      </c>
      <c r="C28" s="34">
        <v>18</v>
      </c>
      <c r="D28" s="34">
        <v>-4.1861100000000002</v>
      </c>
      <c r="E28" s="34">
        <v>2.5929799999999998</v>
      </c>
      <c r="F28" s="34">
        <v>20</v>
      </c>
      <c r="G28" s="35">
        <v>2.7520599999999999E-5</v>
      </c>
      <c r="H28" s="35">
        <v>1.5140600000000002E-14</v>
      </c>
      <c r="I28" s="34">
        <v>25</v>
      </c>
      <c r="J28" s="34" t="s">
        <v>29</v>
      </c>
      <c r="K28" s="35">
        <v>4.7423500000000005E-13</v>
      </c>
      <c r="L28" s="35">
        <v>-7.15717E-18</v>
      </c>
      <c r="M28" s="34">
        <v>8</v>
      </c>
      <c r="N28" s="34" t="s">
        <v>29</v>
      </c>
      <c r="O28">
        <f t="shared" si="0"/>
        <v>6.7790900000000001</v>
      </c>
    </row>
    <row r="29" spans="1:15" x14ac:dyDescent="0.25">
      <c r="A29" s="34">
        <v>1.2</v>
      </c>
      <c r="B29" s="1">
        <v>27</v>
      </c>
      <c r="C29" s="34">
        <v>55</v>
      </c>
      <c r="D29" s="34">
        <v>61.191699999999997</v>
      </c>
      <c r="E29" s="34">
        <v>63.9161</v>
      </c>
      <c r="F29" s="34">
        <v>14</v>
      </c>
      <c r="G29" s="34">
        <v>62.748100000000001</v>
      </c>
      <c r="H29" s="34">
        <v>-0.92114799999999997</v>
      </c>
      <c r="I29" s="34">
        <v>23</v>
      </c>
      <c r="J29" s="34" t="s">
        <v>28</v>
      </c>
      <c r="K29" s="34">
        <v>62.748199999999997</v>
      </c>
      <c r="L29" s="34">
        <v>-0.92114799999999997</v>
      </c>
      <c r="M29" s="34">
        <v>20</v>
      </c>
      <c r="N29" s="34" t="s">
        <v>28</v>
      </c>
      <c r="O29">
        <f t="shared" si="0"/>
        <v>2.7244000000000028</v>
      </c>
    </row>
    <row r="30" spans="1:15" x14ac:dyDescent="0.25">
      <c r="A30" s="34">
        <v>1.2</v>
      </c>
      <c r="B30" s="1">
        <v>28</v>
      </c>
      <c r="C30" s="34">
        <v>54</v>
      </c>
      <c r="D30" s="34">
        <v>61.430100000000003</v>
      </c>
      <c r="E30" s="34">
        <v>64.699299999999994</v>
      </c>
      <c r="F30" s="34">
        <v>15</v>
      </c>
      <c r="G30" s="34">
        <v>62.748199999999997</v>
      </c>
      <c r="H30" s="34">
        <v>-0.92114799999999997</v>
      </c>
      <c r="I30" s="34">
        <v>24</v>
      </c>
      <c r="J30" s="34" t="s">
        <v>28</v>
      </c>
      <c r="K30" s="34">
        <v>62.748199999999997</v>
      </c>
      <c r="L30" s="34">
        <v>-0.92114799999999997</v>
      </c>
      <c r="M30" s="34">
        <v>16</v>
      </c>
      <c r="N30" s="34" t="s">
        <v>28</v>
      </c>
      <c r="O30">
        <f t="shared" si="0"/>
        <v>3.2691999999999908</v>
      </c>
    </row>
    <row r="31" spans="1:15" x14ac:dyDescent="0.25">
      <c r="A31" s="34">
        <v>1.2</v>
      </c>
      <c r="B31" s="1">
        <v>29</v>
      </c>
      <c r="C31" s="34">
        <v>97</v>
      </c>
      <c r="D31" s="34">
        <v>58.662399999999998</v>
      </c>
      <c r="E31" s="34">
        <v>70.3767</v>
      </c>
      <c r="F31" s="34">
        <v>23</v>
      </c>
      <c r="G31" s="34">
        <v>62.748100000000001</v>
      </c>
      <c r="H31" s="34">
        <v>-0.92114799999999997</v>
      </c>
      <c r="I31" s="34">
        <v>26</v>
      </c>
      <c r="J31" s="34" t="s">
        <v>28</v>
      </c>
      <c r="K31" s="34">
        <v>62.748199999999997</v>
      </c>
      <c r="L31" s="34">
        <v>-0.92114799999999997</v>
      </c>
      <c r="M31" s="34">
        <v>24</v>
      </c>
      <c r="N31" s="34" t="s">
        <v>28</v>
      </c>
      <c r="O31">
        <f t="shared" si="0"/>
        <v>11.714300000000001</v>
      </c>
    </row>
    <row r="32" spans="1:15" x14ac:dyDescent="0.25">
      <c r="A32" s="34">
        <v>1.2</v>
      </c>
      <c r="B32" s="1">
        <v>30</v>
      </c>
      <c r="C32" s="34">
        <v>-87</v>
      </c>
      <c r="D32" s="34">
        <v>-20.752600000000001</v>
      </c>
      <c r="E32" s="34">
        <v>8.3962199999999996</v>
      </c>
      <c r="F32" s="34">
        <v>27</v>
      </c>
      <c r="G32" s="35">
        <v>7.17706E-5</v>
      </c>
      <c r="H32" s="35">
        <v>1.03013E-13</v>
      </c>
      <c r="I32" s="34">
        <v>28</v>
      </c>
      <c r="J32" s="34" t="s">
        <v>29</v>
      </c>
      <c r="K32" s="35">
        <v>1.1391700000000001E-10</v>
      </c>
      <c r="L32" s="35">
        <v>-7.15717E-18</v>
      </c>
      <c r="M32" s="34">
        <v>8</v>
      </c>
      <c r="N32" s="34" t="s">
        <v>29</v>
      </c>
      <c r="O32">
        <f t="shared" si="0"/>
        <v>29.148820000000001</v>
      </c>
    </row>
    <row r="33" spans="1:15" x14ac:dyDescent="0.25">
      <c r="A33" s="34">
        <v>1.2</v>
      </c>
      <c r="B33" s="1">
        <v>31</v>
      </c>
      <c r="C33" s="34">
        <v>-79</v>
      </c>
      <c r="D33" s="34">
        <v>-12.752599999999999</v>
      </c>
      <c r="E33" s="34">
        <v>16.3962</v>
      </c>
      <c r="F33" s="34">
        <v>27</v>
      </c>
      <c r="G33" s="35">
        <v>-8.2612099999999995E-5</v>
      </c>
      <c r="H33" s="35">
        <v>1.3648799999999999E-13</v>
      </c>
      <c r="I33" s="34">
        <v>28</v>
      </c>
      <c r="J33" s="34" t="s">
        <v>29</v>
      </c>
      <c r="K33" s="35">
        <v>7.2242200000000001E-13</v>
      </c>
      <c r="L33" s="35">
        <v>-7.15717E-18</v>
      </c>
      <c r="M33" s="34">
        <v>8</v>
      </c>
      <c r="N33" s="34" t="s">
        <v>29</v>
      </c>
      <c r="O33">
        <f t="shared" si="0"/>
        <v>29.148800000000001</v>
      </c>
    </row>
    <row r="34" spans="1:15" x14ac:dyDescent="0.25">
      <c r="A34" s="34">
        <v>1.2</v>
      </c>
      <c r="B34" s="1">
        <v>32</v>
      </c>
      <c r="C34" s="34">
        <v>-67</v>
      </c>
      <c r="D34" s="34">
        <v>-11.793900000000001</v>
      </c>
      <c r="E34" s="34">
        <v>12.4968</v>
      </c>
      <c r="F34" s="34">
        <v>26</v>
      </c>
      <c r="G34" s="35">
        <v>6.4496099999999994E-5</v>
      </c>
      <c r="H34" s="35">
        <v>8.3187699999999994E-14</v>
      </c>
      <c r="I34" s="34">
        <v>28</v>
      </c>
      <c r="J34" s="34" t="s">
        <v>29</v>
      </c>
      <c r="K34" s="35">
        <v>2.7358800000000001E-13</v>
      </c>
      <c r="L34" s="35">
        <v>-7.15717E-18</v>
      </c>
      <c r="M34" s="34">
        <v>8</v>
      </c>
      <c r="N34" s="34" t="s">
        <v>29</v>
      </c>
      <c r="O34">
        <f t="shared" si="0"/>
        <v>24.290700000000001</v>
      </c>
    </row>
    <row r="35" spans="1:15" x14ac:dyDescent="0.25">
      <c r="A35" s="34">
        <v>1.2</v>
      </c>
      <c r="B35" s="1">
        <v>33</v>
      </c>
      <c r="C35" s="34">
        <v>-92</v>
      </c>
      <c r="D35" s="34">
        <v>-12.5032</v>
      </c>
      <c r="E35" s="34">
        <v>22.4755</v>
      </c>
      <c r="F35" s="34">
        <v>28</v>
      </c>
      <c r="G35" s="35">
        <v>4.3755299999999998E-5</v>
      </c>
      <c r="H35" s="35">
        <v>3.8283400000000002E-14</v>
      </c>
      <c r="I35" s="34">
        <v>29</v>
      </c>
      <c r="J35" s="34" t="s">
        <v>29</v>
      </c>
      <c r="K35" s="35">
        <v>2.24888E-13</v>
      </c>
      <c r="L35" s="35">
        <v>-7.15717E-18</v>
      </c>
      <c r="M35" s="34">
        <v>12</v>
      </c>
      <c r="N35" s="34" t="s">
        <v>29</v>
      </c>
      <c r="O35">
        <f t="shared" si="0"/>
        <v>34.978700000000003</v>
      </c>
    </row>
    <row r="36" spans="1:15" x14ac:dyDescent="0.25">
      <c r="A36" s="34">
        <v>1.2</v>
      </c>
      <c r="B36" s="1">
        <v>34</v>
      </c>
      <c r="C36" s="34">
        <v>45</v>
      </c>
      <c r="D36" s="34">
        <v>60.406999999999996</v>
      </c>
      <c r="E36" s="34">
        <v>67.186099999999996</v>
      </c>
      <c r="F36" s="34">
        <v>19</v>
      </c>
      <c r="G36" s="34">
        <v>62.748100000000001</v>
      </c>
      <c r="H36" s="34">
        <v>-0.92114799999999997</v>
      </c>
      <c r="I36" s="34">
        <v>25</v>
      </c>
      <c r="J36" s="34" t="s">
        <v>28</v>
      </c>
      <c r="K36" s="34">
        <v>62.748199999999997</v>
      </c>
      <c r="L36" s="34">
        <v>-0.92114799999999997</v>
      </c>
      <c r="M36" s="34">
        <v>20</v>
      </c>
      <c r="N36" s="34" t="s">
        <v>28</v>
      </c>
      <c r="O36">
        <f t="shared" si="0"/>
        <v>6.7790999999999997</v>
      </c>
    </row>
    <row r="37" spans="1:15" x14ac:dyDescent="0.25">
      <c r="A37" s="34">
        <v>1.2</v>
      </c>
      <c r="B37" s="1">
        <v>35</v>
      </c>
      <c r="C37" s="34">
        <v>-97</v>
      </c>
      <c r="D37" s="34">
        <v>-17.5032</v>
      </c>
      <c r="E37" s="34">
        <v>17.4755</v>
      </c>
      <c r="F37" s="34">
        <v>28</v>
      </c>
      <c r="G37" s="35">
        <v>-3.8053299999999997E-5</v>
      </c>
      <c r="H37" s="35">
        <v>2.8953999999999998E-14</v>
      </c>
      <c r="I37" s="34">
        <v>29</v>
      </c>
      <c r="J37" s="34" t="s">
        <v>29</v>
      </c>
      <c r="K37" s="35">
        <v>-2.31442E-10</v>
      </c>
      <c r="L37" s="35">
        <v>-7.1571600000000002E-18</v>
      </c>
      <c r="M37" s="34">
        <v>8</v>
      </c>
      <c r="N37" s="34" t="s">
        <v>29</v>
      </c>
      <c r="O37">
        <f t="shared" si="0"/>
        <v>34.978700000000003</v>
      </c>
    </row>
    <row r="38" spans="1:15" x14ac:dyDescent="0.25">
      <c r="A38" s="34">
        <v>1.2</v>
      </c>
      <c r="B38" s="1">
        <v>36</v>
      </c>
      <c r="C38" s="34">
        <v>0</v>
      </c>
      <c r="D38" s="34">
        <v>-1</v>
      </c>
      <c r="E38" s="34">
        <v>1</v>
      </c>
      <c r="F38" s="34">
        <v>3</v>
      </c>
      <c r="G38" s="35">
        <v>-1.0896200000000001E-17</v>
      </c>
      <c r="H38" s="35">
        <v>-7.15717E-18</v>
      </c>
      <c r="I38" s="34">
        <v>23</v>
      </c>
      <c r="J38" s="34" t="s">
        <v>29</v>
      </c>
      <c r="K38" s="35">
        <v>2.8460299999999998E-13</v>
      </c>
      <c r="L38" s="35">
        <v>-7.15717E-18</v>
      </c>
      <c r="M38" s="34">
        <v>7</v>
      </c>
      <c r="N38" s="34" t="s">
        <v>29</v>
      </c>
      <c r="O38">
        <f t="shared" si="0"/>
        <v>2</v>
      </c>
    </row>
    <row r="39" spans="1:15" x14ac:dyDescent="0.25">
      <c r="A39" s="34">
        <v>1.2</v>
      </c>
      <c r="B39" s="1">
        <v>37</v>
      </c>
      <c r="C39" s="34">
        <v>75</v>
      </c>
      <c r="D39" s="34">
        <v>59.593000000000004</v>
      </c>
      <c r="E39" s="34">
        <v>64.300700000000006</v>
      </c>
      <c r="F39" s="34">
        <v>18</v>
      </c>
      <c r="G39" s="34">
        <v>62.748100000000001</v>
      </c>
      <c r="H39" s="34">
        <v>-0.92114799999999997</v>
      </c>
      <c r="I39" s="34">
        <v>25</v>
      </c>
      <c r="J39" s="34" t="s">
        <v>28</v>
      </c>
      <c r="K39" s="34">
        <v>62.748199999999997</v>
      </c>
      <c r="L39" s="34">
        <v>-0.92114799999999997</v>
      </c>
      <c r="M39" s="34">
        <v>20</v>
      </c>
      <c r="N39" s="34" t="s">
        <v>28</v>
      </c>
      <c r="O39">
        <f t="shared" si="0"/>
        <v>4.7077000000000027</v>
      </c>
    </row>
    <row r="40" spans="1:15" x14ac:dyDescent="0.25">
      <c r="A40" s="34">
        <v>1.2</v>
      </c>
      <c r="B40" s="1">
        <v>38</v>
      </c>
      <c r="C40" s="34">
        <v>66</v>
      </c>
      <c r="D40" s="34">
        <v>62.416800000000002</v>
      </c>
      <c r="E40" s="34">
        <v>63.511699999999998</v>
      </c>
      <c r="F40" s="34">
        <v>10</v>
      </c>
      <c r="G40" s="34">
        <v>62.748100000000001</v>
      </c>
      <c r="H40" s="34">
        <v>-0.92114799999999997</v>
      </c>
      <c r="I40" s="34">
        <v>22</v>
      </c>
      <c r="J40" s="34" t="s">
        <v>28</v>
      </c>
      <c r="K40" s="34">
        <v>62.748100000000001</v>
      </c>
      <c r="L40" s="34">
        <v>-0.92114799999999997</v>
      </c>
      <c r="M40" s="34">
        <v>11</v>
      </c>
      <c r="N40" s="34" t="s">
        <v>28</v>
      </c>
      <c r="O40">
        <f t="shared" si="0"/>
        <v>1.0948999999999955</v>
      </c>
    </row>
    <row r="41" spans="1:15" x14ac:dyDescent="0.25">
      <c r="A41" s="34">
        <v>1.2</v>
      </c>
      <c r="B41" s="1">
        <v>39</v>
      </c>
      <c r="C41" s="34">
        <v>-51</v>
      </c>
      <c r="D41" s="34">
        <v>-4.9948800000000002</v>
      </c>
      <c r="E41" s="34">
        <v>15.247400000000001</v>
      </c>
      <c r="F41" s="34">
        <v>25</v>
      </c>
      <c r="G41" s="35">
        <v>6.3656099999999995E-5</v>
      </c>
      <c r="H41" s="35">
        <v>8.1034699999999996E-14</v>
      </c>
      <c r="I41" s="34">
        <v>28</v>
      </c>
      <c r="J41" s="34" t="s">
        <v>29</v>
      </c>
      <c r="K41" s="35">
        <v>7.2444700000000001E-12</v>
      </c>
      <c r="L41" s="35">
        <v>-7.15717E-18</v>
      </c>
      <c r="M41" s="34">
        <v>8</v>
      </c>
      <c r="N41" s="34" t="s">
        <v>29</v>
      </c>
      <c r="O41">
        <f t="shared" si="0"/>
        <v>20.242280000000001</v>
      </c>
    </row>
    <row r="42" spans="1:15" x14ac:dyDescent="0.25">
      <c r="A42" s="34">
        <v>1.2</v>
      </c>
      <c r="B42" s="1">
        <v>40</v>
      </c>
      <c r="C42" s="34">
        <v>-33</v>
      </c>
      <c r="D42" s="34">
        <v>-6.3766699999999998</v>
      </c>
      <c r="E42" s="34">
        <v>5.3376000000000001</v>
      </c>
      <c r="F42" s="34">
        <v>22</v>
      </c>
      <c r="G42" s="35">
        <v>-8.0897199999999995E-5</v>
      </c>
      <c r="H42" s="35">
        <v>1.3087999999999999E-13</v>
      </c>
      <c r="I42" s="34">
        <v>26</v>
      </c>
      <c r="J42" s="34" t="s">
        <v>29</v>
      </c>
      <c r="K42" s="35">
        <v>1.72385E-12</v>
      </c>
      <c r="L42" s="35">
        <v>-7.15717E-18</v>
      </c>
      <c r="M42" s="34">
        <v>8</v>
      </c>
      <c r="N42" s="34" t="s">
        <v>29</v>
      </c>
      <c r="O42">
        <f t="shared" si="0"/>
        <v>11.714269999999999</v>
      </c>
    </row>
    <row r="43" spans="1:15" x14ac:dyDescent="0.25">
      <c r="A43" s="34">
        <v>1.2</v>
      </c>
      <c r="B43" s="1">
        <v>41</v>
      </c>
      <c r="C43" s="34">
        <v>20</v>
      </c>
      <c r="D43" s="34">
        <v>-2.1861100000000002</v>
      </c>
      <c r="E43" s="34">
        <v>4.5929799999999998</v>
      </c>
      <c r="F43" s="34">
        <v>20</v>
      </c>
      <c r="G43" s="35">
        <v>-4.1068800000000002E-5</v>
      </c>
      <c r="H43" s="35">
        <v>3.3725799999999998E-14</v>
      </c>
      <c r="I43" s="34">
        <v>25</v>
      </c>
      <c r="J43" s="34" t="s">
        <v>29</v>
      </c>
      <c r="K43" s="35">
        <v>3.57171E-13</v>
      </c>
      <c r="L43" s="35">
        <v>-7.15717E-18</v>
      </c>
      <c r="M43" s="34">
        <v>8</v>
      </c>
      <c r="N43" s="34" t="s">
        <v>29</v>
      </c>
      <c r="O43">
        <f t="shared" si="0"/>
        <v>6.7790900000000001</v>
      </c>
    </row>
    <row r="44" spans="1:15" x14ac:dyDescent="0.25">
      <c r="A44" s="34">
        <v>1.2</v>
      </c>
      <c r="B44" s="1">
        <v>42</v>
      </c>
      <c r="C44" s="34">
        <v>-2</v>
      </c>
      <c r="D44" s="34">
        <v>-0.27200000000000002</v>
      </c>
      <c r="E44" s="34">
        <v>0.48831999999999998</v>
      </c>
      <c r="F44" s="34">
        <v>7</v>
      </c>
      <c r="G44" s="35">
        <v>-2.54924E-5</v>
      </c>
      <c r="H44" s="35">
        <v>1.2990099999999999E-14</v>
      </c>
      <c r="I44" s="34">
        <v>21</v>
      </c>
      <c r="J44" s="34" t="s">
        <v>29</v>
      </c>
      <c r="K44" s="35">
        <v>2.2643600000000001E-13</v>
      </c>
      <c r="L44" s="35">
        <v>-7.15717E-18</v>
      </c>
      <c r="M44" s="34">
        <v>8</v>
      </c>
      <c r="N44" s="34" t="s">
        <v>29</v>
      </c>
      <c r="O44">
        <f t="shared" si="0"/>
        <v>0.76032</v>
      </c>
    </row>
    <row r="45" spans="1:15" x14ac:dyDescent="0.25">
      <c r="A45" s="34">
        <v>1.2</v>
      </c>
      <c r="B45" s="1">
        <v>43</v>
      </c>
      <c r="C45" s="34">
        <v>82</v>
      </c>
      <c r="D45" s="34">
        <v>59.813899999999997</v>
      </c>
      <c r="E45" s="34">
        <v>66.593000000000004</v>
      </c>
      <c r="F45" s="34">
        <v>20</v>
      </c>
      <c r="G45" s="34">
        <v>62.748100000000001</v>
      </c>
      <c r="H45" s="34">
        <v>-0.92114799999999997</v>
      </c>
      <c r="I45" s="34">
        <v>25</v>
      </c>
      <c r="J45" s="34" t="s">
        <v>28</v>
      </c>
      <c r="K45" s="34">
        <v>62.748199999999997</v>
      </c>
      <c r="L45" s="34">
        <v>-0.92114799999999997</v>
      </c>
      <c r="M45" s="34">
        <v>20</v>
      </c>
      <c r="N45" s="34" t="s">
        <v>28</v>
      </c>
      <c r="O45">
        <f t="shared" si="0"/>
        <v>6.7791000000000068</v>
      </c>
    </row>
    <row r="46" spans="1:15" x14ac:dyDescent="0.25">
      <c r="A46" s="34">
        <v>1.2</v>
      </c>
      <c r="B46" s="1">
        <v>44</v>
      </c>
      <c r="C46" s="34">
        <v>-91</v>
      </c>
      <c r="D46" s="34">
        <v>-11.5032</v>
      </c>
      <c r="E46" s="34">
        <v>23.4755</v>
      </c>
      <c r="F46" s="34">
        <v>28</v>
      </c>
      <c r="G46" s="35">
        <v>6.0117000000000001E-5</v>
      </c>
      <c r="H46" s="35">
        <v>7.2274000000000003E-14</v>
      </c>
      <c r="I46" s="34">
        <v>29</v>
      </c>
      <c r="J46" s="34" t="s">
        <v>29</v>
      </c>
      <c r="K46" s="35">
        <v>2.2500199999999999E-13</v>
      </c>
      <c r="L46" s="35">
        <v>-7.15717E-18</v>
      </c>
      <c r="M46" s="34">
        <v>12</v>
      </c>
      <c r="N46" s="34" t="s">
        <v>29</v>
      </c>
      <c r="O46">
        <f t="shared" si="0"/>
        <v>34.978700000000003</v>
      </c>
    </row>
    <row r="47" spans="1:15" x14ac:dyDescent="0.25">
      <c r="A47" s="34">
        <v>1.2</v>
      </c>
      <c r="B47" s="1">
        <v>45</v>
      </c>
      <c r="C47" s="34">
        <v>58</v>
      </c>
      <c r="D47" s="34">
        <v>62.299799999999998</v>
      </c>
      <c r="E47" s="34">
        <v>64.191699999999997</v>
      </c>
      <c r="F47" s="34">
        <v>12</v>
      </c>
      <c r="G47" s="34">
        <v>62.748100000000001</v>
      </c>
      <c r="H47" s="34">
        <v>-0.92114799999999997</v>
      </c>
      <c r="I47" s="34">
        <v>23</v>
      </c>
      <c r="J47" s="34" t="s">
        <v>28</v>
      </c>
      <c r="K47" s="34">
        <v>62.748199999999997</v>
      </c>
      <c r="L47" s="34">
        <v>-0.92114799999999997</v>
      </c>
      <c r="M47" s="34">
        <v>16</v>
      </c>
      <c r="N47" s="34" t="s">
        <v>28</v>
      </c>
      <c r="O47">
        <f t="shared" si="0"/>
        <v>1.8918999999999997</v>
      </c>
    </row>
    <row r="48" spans="1:15" x14ac:dyDescent="0.25">
      <c r="A48" s="34">
        <v>1.2</v>
      </c>
      <c r="B48" s="1">
        <v>46</v>
      </c>
      <c r="C48" s="34">
        <v>14</v>
      </c>
      <c r="D48" s="34">
        <v>-1.4070199999999999</v>
      </c>
      <c r="E48" s="34">
        <v>3.3006799999999998</v>
      </c>
      <c r="F48" s="34">
        <v>18</v>
      </c>
      <c r="G48" s="35">
        <v>1.7868199999999999E-5</v>
      </c>
      <c r="H48" s="35">
        <v>6.3783000000000003E-15</v>
      </c>
      <c r="I48" s="34">
        <v>25</v>
      </c>
      <c r="J48" s="34" t="s">
        <v>29</v>
      </c>
      <c r="K48" s="35">
        <v>2.9603399999999999E-13</v>
      </c>
      <c r="L48" s="35">
        <v>-7.15717E-18</v>
      </c>
      <c r="M48" s="34">
        <v>8</v>
      </c>
      <c r="N48" s="34" t="s">
        <v>29</v>
      </c>
      <c r="O48">
        <f t="shared" si="0"/>
        <v>4.7077</v>
      </c>
    </row>
    <row r="49" spans="1:15" x14ac:dyDescent="0.25">
      <c r="A49" s="34">
        <v>1.2</v>
      </c>
      <c r="B49" s="1">
        <v>47</v>
      </c>
      <c r="C49" s="34">
        <v>5</v>
      </c>
      <c r="D49" s="34">
        <v>-1.19174</v>
      </c>
      <c r="E49" s="34">
        <v>0.700183</v>
      </c>
      <c r="F49" s="34">
        <v>13</v>
      </c>
      <c r="G49" s="35">
        <v>1.3732E-5</v>
      </c>
      <c r="H49" s="35">
        <v>3.7642200000000003E-15</v>
      </c>
      <c r="I49" s="34">
        <v>23</v>
      </c>
      <c r="J49" s="34" t="s">
        <v>29</v>
      </c>
      <c r="K49" s="35">
        <v>2.3601799999999999E-13</v>
      </c>
      <c r="L49" s="35">
        <v>-7.15717E-18</v>
      </c>
      <c r="M49" s="34">
        <v>8</v>
      </c>
      <c r="N49" s="34" t="s">
        <v>29</v>
      </c>
      <c r="O49">
        <f t="shared" si="0"/>
        <v>1.891923</v>
      </c>
    </row>
    <row r="50" spans="1:15" x14ac:dyDescent="0.25">
      <c r="A50" s="34">
        <v>1.2</v>
      </c>
      <c r="B50" s="1">
        <v>48</v>
      </c>
      <c r="C50" s="34">
        <v>38</v>
      </c>
      <c r="D50" s="34">
        <v>-8.0051199999999998</v>
      </c>
      <c r="E50" s="34">
        <v>6.0519999999999996</v>
      </c>
      <c r="F50" s="34">
        <v>24</v>
      </c>
      <c r="G50" s="35">
        <v>-5.8922999999999998E-5</v>
      </c>
      <c r="H50" s="35">
        <v>6.9431199999999999E-14</v>
      </c>
      <c r="I50" s="34">
        <v>27</v>
      </c>
      <c r="J50" s="34" t="s">
        <v>29</v>
      </c>
      <c r="K50" s="35">
        <v>4.8123799999999997E-12</v>
      </c>
      <c r="L50" s="35">
        <v>-7.15717E-18</v>
      </c>
      <c r="M50" s="34">
        <v>8</v>
      </c>
      <c r="N50" s="34" t="s">
        <v>29</v>
      </c>
      <c r="O50">
        <f t="shared" si="0"/>
        <v>14.057119999999999</v>
      </c>
    </row>
    <row r="51" spans="1:15" x14ac:dyDescent="0.25">
      <c r="A51" s="34">
        <v>1.2</v>
      </c>
      <c r="B51" s="1">
        <v>49</v>
      </c>
      <c r="C51" s="34">
        <v>50</v>
      </c>
      <c r="D51" s="34">
        <v>60.699300000000001</v>
      </c>
      <c r="E51" s="34">
        <v>65.406999999999996</v>
      </c>
      <c r="F51" s="34">
        <v>17</v>
      </c>
      <c r="G51" s="34">
        <v>62.748199999999997</v>
      </c>
      <c r="H51" s="34">
        <v>-0.92114799999999997</v>
      </c>
      <c r="I51" s="34">
        <v>25</v>
      </c>
      <c r="J51" s="34" t="s">
        <v>28</v>
      </c>
      <c r="K51" s="34">
        <v>62.748199999999997</v>
      </c>
      <c r="L51" s="34">
        <v>-0.92114799999999997</v>
      </c>
      <c r="M51" s="34">
        <v>16</v>
      </c>
      <c r="N51" s="34" t="s">
        <v>28</v>
      </c>
      <c r="O51">
        <f t="shared" si="0"/>
        <v>4.7076999999999956</v>
      </c>
    </row>
    <row r="52" spans="1:15" x14ac:dyDescent="0.25">
      <c r="A52" s="34">
        <v>1.2</v>
      </c>
      <c r="B52" s="1">
        <v>50</v>
      </c>
      <c r="C52" s="34">
        <v>-6</v>
      </c>
      <c r="D52" s="34">
        <v>-0.84021999999999997</v>
      </c>
      <c r="E52" s="34">
        <v>1.43008</v>
      </c>
      <c r="F52" s="34">
        <v>13</v>
      </c>
      <c r="G52" s="35">
        <v>-1.6478400000000001E-5</v>
      </c>
      <c r="H52" s="35">
        <v>5.4236200000000004E-15</v>
      </c>
      <c r="I52" s="34">
        <v>23</v>
      </c>
      <c r="J52" s="34" t="s">
        <v>29</v>
      </c>
      <c r="K52" s="35">
        <v>2.3688399999999998E-13</v>
      </c>
      <c r="L52" s="35">
        <v>-7.15717E-18</v>
      </c>
      <c r="M52" s="34">
        <v>8</v>
      </c>
      <c r="N52" s="34" t="s">
        <v>29</v>
      </c>
      <c r="O52">
        <f t="shared" si="0"/>
        <v>2.2702999999999998</v>
      </c>
    </row>
    <row r="53" spans="1:15" x14ac:dyDescent="0.25">
      <c r="A53" s="34">
        <v>1.2</v>
      </c>
      <c r="B53" s="1">
        <v>51</v>
      </c>
      <c r="C53" s="34">
        <v>-51</v>
      </c>
      <c r="D53" s="34">
        <v>-4.9948800000000002</v>
      </c>
      <c r="E53" s="34">
        <v>15.247400000000001</v>
      </c>
      <c r="F53" s="34">
        <v>25</v>
      </c>
      <c r="G53" s="35">
        <v>6.3656099999999995E-5</v>
      </c>
      <c r="H53" s="35">
        <v>8.1034699999999996E-14</v>
      </c>
      <c r="I53" s="34">
        <v>28</v>
      </c>
      <c r="J53" s="34" t="s">
        <v>29</v>
      </c>
      <c r="K53" s="35">
        <v>7.2444700000000001E-12</v>
      </c>
      <c r="L53" s="35">
        <v>-7.15717E-18</v>
      </c>
      <c r="M53" s="34">
        <v>8</v>
      </c>
      <c r="N53" s="34" t="s">
        <v>29</v>
      </c>
      <c r="O53">
        <f t="shared" si="0"/>
        <v>20.242280000000001</v>
      </c>
    </row>
    <row r="54" spans="1:15" x14ac:dyDescent="0.25">
      <c r="A54" s="34">
        <v>1.2</v>
      </c>
      <c r="B54" s="1">
        <v>52</v>
      </c>
      <c r="C54" s="34">
        <v>32</v>
      </c>
      <c r="D54" s="34">
        <v>-6.3376000000000001</v>
      </c>
      <c r="E54" s="34">
        <v>5.3766699999999998</v>
      </c>
      <c r="F54" s="34">
        <v>23</v>
      </c>
      <c r="G54" s="35">
        <v>-9.6075899999999999E-5</v>
      </c>
      <c r="H54" s="35">
        <v>1.84605E-13</v>
      </c>
      <c r="I54" s="34">
        <v>26</v>
      </c>
      <c r="J54" s="34" t="s">
        <v>29</v>
      </c>
      <c r="K54" s="35">
        <v>1.6625200000000001E-12</v>
      </c>
      <c r="L54" s="35">
        <v>-7.15717E-18</v>
      </c>
      <c r="M54" s="34">
        <v>8</v>
      </c>
      <c r="N54" s="34" t="s">
        <v>29</v>
      </c>
      <c r="O54">
        <f t="shared" si="0"/>
        <v>11.714269999999999</v>
      </c>
    </row>
    <row r="55" spans="1:15" x14ac:dyDescent="0.25">
      <c r="A55" s="34">
        <v>1.2</v>
      </c>
      <c r="B55" s="1">
        <v>53</v>
      </c>
      <c r="C55" s="34">
        <v>56</v>
      </c>
      <c r="D55" s="34">
        <v>61.159799999999997</v>
      </c>
      <c r="E55" s="34">
        <v>63.430100000000003</v>
      </c>
      <c r="F55" s="34">
        <v>13</v>
      </c>
      <c r="G55" s="34">
        <v>62.748199999999997</v>
      </c>
      <c r="H55" s="34">
        <v>-0.92114799999999997</v>
      </c>
      <c r="I55" s="34">
        <v>23</v>
      </c>
      <c r="J55" s="34" t="s">
        <v>28</v>
      </c>
      <c r="K55" s="34">
        <v>62.748199999999997</v>
      </c>
      <c r="L55" s="34">
        <v>-0.92114799999999997</v>
      </c>
      <c r="M55" s="34">
        <v>16</v>
      </c>
      <c r="N55" s="34" t="s">
        <v>28</v>
      </c>
      <c r="O55">
        <f t="shared" si="0"/>
        <v>2.270300000000006</v>
      </c>
    </row>
    <row r="56" spans="1:15" x14ac:dyDescent="0.25">
      <c r="A56" s="34">
        <v>1.2</v>
      </c>
      <c r="B56" s="1">
        <v>54</v>
      </c>
      <c r="C56" s="34">
        <v>-59</v>
      </c>
      <c r="D56" s="34">
        <v>-12.994899999999999</v>
      </c>
      <c r="E56" s="34">
        <v>7.2473700000000001</v>
      </c>
      <c r="F56" s="34">
        <v>25</v>
      </c>
      <c r="G56" s="35">
        <v>6.2628500000000005E-5</v>
      </c>
      <c r="H56" s="35">
        <v>7.8439399999999999E-14</v>
      </c>
      <c r="I56" s="34">
        <v>28</v>
      </c>
      <c r="J56" s="34" t="s">
        <v>29</v>
      </c>
      <c r="K56" s="35">
        <v>2.8037100000000001E-11</v>
      </c>
      <c r="L56" s="35">
        <v>-7.15717E-18</v>
      </c>
      <c r="M56" s="34">
        <v>8</v>
      </c>
      <c r="N56" s="34" t="s">
        <v>29</v>
      </c>
      <c r="O56">
        <f t="shared" si="0"/>
        <v>20.242269999999998</v>
      </c>
    </row>
    <row r="57" spans="1:15" x14ac:dyDescent="0.25">
      <c r="A57" s="34">
        <v>1.2</v>
      </c>
      <c r="B57" s="1">
        <v>55</v>
      </c>
      <c r="C57" s="34">
        <v>58</v>
      </c>
      <c r="D57" s="34">
        <v>62.299799999999998</v>
      </c>
      <c r="E57" s="34">
        <v>64.191699999999997</v>
      </c>
      <c r="F57" s="34">
        <v>12</v>
      </c>
      <c r="G57" s="34">
        <v>62.748100000000001</v>
      </c>
      <c r="H57" s="34">
        <v>-0.92114799999999997</v>
      </c>
      <c r="I57" s="34">
        <v>23</v>
      </c>
      <c r="J57" s="34" t="s">
        <v>28</v>
      </c>
      <c r="K57" s="34">
        <v>62.748199999999997</v>
      </c>
      <c r="L57" s="34">
        <v>-0.92114799999999997</v>
      </c>
      <c r="M57" s="34">
        <v>16</v>
      </c>
      <c r="N57" s="34" t="s">
        <v>28</v>
      </c>
      <c r="O57">
        <f t="shared" si="0"/>
        <v>1.8918999999999997</v>
      </c>
    </row>
    <row r="58" spans="1:15" x14ac:dyDescent="0.25">
      <c r="A58" s="34">
        <v>1.2</v>
      </c>
      <c r="B58" s="1">
        <v>56</v>
      </c>
      <c r="C58" s="34">
        <v>82</v>
      </c>
      <c r="D58" s="34">
        <v>59.813899999999997</v>
      </c>
      <c r="E58" s="34">
        <v>66.593000000000004</v>
      </c>
      <c r="F58" s="34">
        <v>20</v>
      </c>
      <c r="G58" s="34">
        <v>62.748100000000001</v>
      </c>
      <c r="H58" s="34">
        <v>-0.92114799999999997</v>
      </c>
      <c r="I58" s="34">
        <v>25</v>
      </c>
      <c r="J58" s="34" t="s">
        <v>28</v>
      </c>
      <c r="K58" s="34">
        <v>62.748199999999997</v>
      </c>
      <c r="L58" s="34">
        <v>-0.92114799999999997</v>
      </c>
      <c r="M58" s="34">
        <v>20</v>
      </c>
      <c r="N58" s="34" t="s">
        <v>28</v>
      </c>
      <c r="O58">
        <f t="shared" si="0"/>
        <v>6.7791000000000068</v>
      </c>
    </row>
    <row r="59" spans="1:15" x14ac:dyDescent="0.25">
      <c r="A59" s="34">
        <v>1.2</v>
      </c>
      <c r="B59" s="1">
        <v>57</v>
      </c>
      <c r="C59" s="34">
        <v>11</v>
      </c>
      <c r="D59" s="34">
        <v>-1.83918</v>
      </c>
      <c r="E59" s="34">
        <v>2.0838999999999999</v>
      </c>
      <c r="F59" s="34">
        <v>17</v>
      </c>
      <c r="G59" s="35">
        <v>5.7198499999999998E-5</v>
      </c>
      <c r="H59" s="35">
        <v>6.5426199999999995E-14</v>
      </c>
      <c r="I59" s="34">
        <v>24</v>
      </c>
      <c r="J59" s="34" t="s">
        <v>29</v>
      </c>
      <c r="K59" s="35">
        <v>2.3303700000000002E-13</v>
      </c>
      <c r="L59" s="35">
        <v>-7.15717E-18</v>
      </c>
      <c r="M59" s="34">
        <v>8</v>
      </c>
      <c r="N59" s="34" t="s">
        <v>29</v>
      </c>
      <c r="O59">
        <f t="shared" si="0"/>
        <v>3.9230799999999997</v>
      </c>
    </row>
    <row r="60" spans="1:15" x14ac:dyDescent="0.25">
      <c r="A60" s="34">
        <v>1.2</v>
      </c>
      <c r="B60" s="1">
        <v>58</v>
      </c>
      <c r="C60" s="34">
        <v>-35</v>
      </c>
      <c r="D60" s="34">
        <v>-8.3766700000000007</v>
      </c>
      <c r="E60" s="34">
        <v>3.3376000000000001</v>
      </c>
      <c r="F60" s="34">
        <v>22</v>
      </c>
      <c r="G60" s="35">
        <v>4.7649899999999999E-5</v>
      </c>
      <c r="H60" s="35">
        <v>4.5403099999999998E-14</v>
      </c>
      <c r="I60" s="34">
        <v>26</v>
      </c>
      <c r="J60" s="34" t="s">
        <v>29</v>
      </c>
      <c r="K60" s="35">
        <v>1.30832E-12</v>
      </c>
      <c r="L60" s="35">
        <v>-7.15717E-18</v>
      </c>
      <c r="M60" s="34">
        <v>8</v>
      </c>
      <c r="N60" s="34" t="s">
        <v>29</v>
      </c>
      <c r="O60">
        <f t="shared" si="0"/>
        <v>11.714270000000001</v>
      </c>
    </row>
    <row r="61" spans="1:15" x14ac:dyDescent="0.25">
      <c r="A61" s="34">
        <v>1.2</v>
      </c>
      <c r="B61" s="1">
        <v>59</v>
      </c>
      <c r="C61" s="34">
        <v>-12</v>
      </c>
      <c r="D61" s="34">
        <v>-1.3006800000000001</v>
      </c>
      <c r="E61" s="34">
        <v>3.4070200000000002</v>
      </c>
      <c r="F61" s="34">
        <v>17</v>
      </c>
      <c r="G61" s="35">
        <v>1.3901400000000001E-6</v>
      </c>
      <c r="H61" s="35">
        <v>3.1492600000000001E-17</v>
      </c>
      <c r="I61" s="34">
        <v>25</v>
      </c>
      <c r="J61" s="34" t="s">
        <v>29</v>
      </c>
      <c r="K61" s="35">
        <v>3.0272899999999999E-13</v>
      </c>
      <c r="L61" s="35">
        <v>-7.15717E-18</v>
      </c>
      <c r="M61" s="34">
        <v>8</v>
      </c>
      <c r="N61" s="34" t="s">
        <v>29</v>
      </c>
      <c r="O61">
        <f t="shared" si="0"/>
        <v>4.7077</v>
      </c>
    </row>
    <row r="62" spans="1:15" x14ac:dyDescent="0.25">
      <c r="A62" s="34">
        <v>1.2</v>
      </c>
      <c r="B62" s="1">
        <v>60</v>
      </c>
      <c r="C62" s="34">
        <v>8</v>
      </c>
      <c r="D62" s="34">
        <v>-0.91610000000000003</v>
      </c>
      <c r="E62" s="34">
        <v>1.80826</v>
      </c>
      <c r="F62" s="34">
        <v>15</v>
      </c>
      <c r="G62" s="35">
        <v>-7.2616599999999999E-5</v>
      </c>
      <c r="H62" s="35">
        <v>1.05456E-13</v>
      </c>
      <c r="I62" s="34">
        <v>23</v>
      </c>
      <c r="J62" s="34" t="s">
        <v>29</v>
      </c>
      <c r="K62" s="35">
        <v>2.45285E-13</v>
      </c>
      <c r="L62" s="35">
        <v>-7.15717E-18</v>
      </c>
      <c r="M62" s="34">
        <v>8</v>
      </c>
      <c r="N62" s="34" t="s">
        <v>29</v>
      </c>
      <c r="O62">
        <f t="shared" si="0"/>
        <v>2.7243599999999999</v>
      </c>
    </row>
    <row r="63" spans="1:15" x14ac:dyDescent="0.25">
      <c r="A63" s="34">
        <v>1.2</v>
      </c>
      <c r="B63" s="1">
        <v>61</v>
      </c>
      <c r="C63" s="34">
        <v>-22</v>
      </c>
      <c r="D63" s="34">
        <v>-3.5115699999999999</v>
      </c>
      <c r="E63" s="34">
        <v>4.6233300000000002</v>
      </c>
      <c r="F63" s="34">
        <v>20</v>
      </c>
      <c r="G63" s="35">
        <v>-6.0145400000000002E-5</v>
      </c>
      <c r="H63" s="35">
        <v>7.23423E-14</v>
      </c>
      <c r="I63" s="34">
        <v>26</v>
      </c>
      <c r="J63" s="34" t="s">
        <v>29</v>
      </c>
      <c r="K63" s="35">
        <v>2.8519900000000001E-13</v>
      </c>
      <c r="L63" s="35">
        <v>-7.15717E-18</v>
      </c>
      <c r="M63" s="34">
        <v>8</v>
      </c>
      <c r="N63" s="34" t="s">
        <v>29</v>
      </c>
      <c r="O63">
        <f t="shared" si="0"/>
        <v>8.1349</v>
      </c>
    </row>
    <row r="64" spans="1:15" x14ac:dyDescent="0.25">
      <c r="A64" s="34">
        <v>1.2</v>
      </c>
      <c r="B64" s="1">
        <v>62</v>
      </c>
      <c r="C64" s="34">
        <v>-39</v>
      </c>
      <c r="D64" s="34">
        <v>-7.0519999999999996</v>
      </c>
      <c r="E64" s="34">
        <v>7.0051199999999998</v>
      </c>
      <c r="F64" s="34">
        <v>23</v>
      </c>
      <c r="G64" s="35">
        <v>6.9804700000000006E-5</v>
      </c>
      <c r="H64" s="35">
        <v>9.7446899999999994E-14</v>
      </c>
      <c r="I64" s="34">
        <v>27</v>
      </c>
      <c r="J64" s="34" t="s">
        <v>29</v>
      </c>
      <c r="K64" s="35">
        <v>4.8607200000000001E-13</v>
      </c>
      <c r="L64" s="35">
        <v>-7.15717E-18</v>
      </c>
      <c r="M64" s="34">
        <v>8</v>
      </c>
      <c r="N64" s="34" t="s">
        <v>29</v>
      </c>
      <c r="O64">
        <f t="shared" si="0"/>
        <v>14.057119999999999</v>
      </c>
    </row>
    <row r="65" spans="1:15" x14ac:dyDescent="0.25">
      <c r="A65" s="34">
        <v>1.2</v>
      </c>
      <c r="B65" s="1">
        <v>63</v>
      </c>
      <c r="C65" s="34">
        <v>-7</v>
      </c>
      <c r="D65" s="34">
        <v>-0.80826399999999998</v>
      </c>
      <c r="E65" s="34">
        <v>1.9160999999999999</v>
      </c>
      <c r="F65" s="34">
        <v>14</v>
      </c>
      <c r="G65" s="35">
        <v>-4.2871799999999998E-5</v>
      </c>
      <c r="H65" s="35">
        <v>3.6752700000000001E-14</v>
      </c>
      <c r="I65" s="34">
        <v>23</v>
      </c>
      <c r="J65" s="34" t="s">
        <v>29</v>
      </c>
      <c r="K65" s="35">
        <v>2.4874000000000001E-13</v>
      </c>
      <c r="L65" s="35">
        <v>-7.15717E-18</v>
      </c>
      <c r="M65" s="34">
        <v>8</v>
      </c>
      <c r="N65" s="34" t="s">
        <v>29</v>
      </c>
      <c r="O65">
        <f t="shared" si="0"/>
        <v>2.724364</v>
      </c>
    </row>
    <row r="66" spans="1:15" x14ac:dyDescent="0.25">
      <c r="A66" s="34">
        <v>1.2</v>
      </c>
      <c r="B66" s="1">
        <v>64</v>
      </c>
      <c r="C66" s="34">
        <v>-14</v>
      </c>
      <c r="D66" s="34">
        <v>-3.3006799999999998</v>
      </c>
      <c r="E66" s="34">
        <v>1.4070199999999999</v>
      </c>
      <c r="F66" s="34">
        <v>17</v>
      </c>
      <c r="G66" s="35">
        <v>-1.7868199999999999E-5</v>
      </c>
      <c r="H66" s="35">
        <v>6.3783000000000003E-15</v>
      </c>
      <c r="I66" s="34">
        <v>25</v>
      </c>
      <c r="J66" s="34" t="s">
        <v>29</v>
      </c>
      <c r="K66" s="35">
        <v>3.1887100000000001E-13</v>
      </c>
      <c r="L66" s="35">
        <v>-7.15717E-18</v>
      </c>
      <c r="M66" s="34">
        <v>8</v>
      </c>
      <c r="N66" s="34" t="s">
        <v>29</v>
      </c>
      <c r="O66">
        <f t="shared" si="0"/>
        <v>4.7077</v>
      </c>
    </row>
    <row r="67" spans="1:15" x14ac:dyDescent="0.25">
      <c r="A67" s="34">
        <v>1.2</v>
      </c>
      <c r="B67" s="1">
        <v>65</v>
      </c>
      <c r="C67" s="34">
        <v>-93</v>
      </c>
      <c r="D67" s="34">
        <v>-13.5032</v>
      </c>
      <c r="E67" s="34">
        <v>21.4755</v>
      </c>
      <c r="F67" s="34">
        <v>28</v>
      </c>
      <c r="G67" s="35">
        <v>-4.0627899999999998E-5</v>
      </c>
      <c r="H67" s="35">
        <v>3.3005399999999998E-14</v>
      </c>
      <c r="I67" s="34">
        <v>29</v>
      </c>
      <c r="J67" s="34" t="s">
        <v>29</v>
      </c>
      <c r="K67" s="35">
        <v>4.0494399999999998E-12</v>
      </c>
      <c r="L67" s="35">
        <v>-7.15717E-18</v>
      </c>
      <c r="M67" s="34">
        <v>8</v>
      </c>
      <c r="N67" s="34" t="s">
        <v>29</v>
      </c>
      <c r="O67">
        <f t="shared" si="0"/>
        <v>34.978700000000003</v>
      </c>
    </row>
    <row r="68" spans="1:15" x14ac:dyDescent="0.25">
      <c r="A68" s="34">
        <v>1.2</v>
      </c>
      <c r="B68" s="1">
        <v>66</v>
      </c>
      <c r="C68" s="34">
        <v>-4</v>
      </c>
      <c r="D68" s="34">
        <v>-0.416819</v>
      </c>
      <c r="E68" s="34">
        <v>1.15978</v>
      </c>
      <c r="F68" s="34">
        <v>11</v>
      </c>
      <c r="G68" s="35">
        <v>-8.0969400000000004E-5</v>
      </c>
      <c r="H68" s="35">
        <v>1.31114E-13</v>
      </c>
      <c r="I68" s="34">
        <v>22</v>
      </c>
      <c r="J68" s="34" t="s">
        <v>29</v>
      </c>
      <c r="K68" s="35">
        <v>2.3346E-13</v>
      </c>
      <c r="L68" s="35">
        <v>-7.15717E-18</v>
      </c>
      <c r="M68" s="34">
        <v>8</v>
      </c>
      <c r="N68" s="34" t="s">
        <v>29</v>
      </c>
      <c r="O68">
        <f t="shared" ref="O68:O131" si="1">E68-D68</f>
        <v>1.5765990000000001</v>
      </c>
    </row>
    <row r="69" spans="1:15" x14ac:dyDescent="0.25">
      <c r="A69" s="34">
        <v>1.2</v>
      </c>
      <c r="B69" s="1">
        <v>67</v>
      </c>
      <c r="C69" s="34">
        <v>86</v>
      </c>
      <c r="D69" s="34">
        <v>59.3767</v>
      </c>
      <c r="E69" s="34">
        <v>67.511600000000001</v>
      </c>
      <c r="F69" s="34">
        <v>21</v>
      </c>
      <c r="G69" s="34">
        <v>62.748199999999997</v>
      </c>
      <c r="H69" s="34">
        <v>-0.92114799999999997</v>
      </c>
      <c r="I69" s="34">
        <v>26</v>
      </c>
      <c r="J69" s="34" t="s">
        <v>28</v>
      </c>
      <c r="K69" s="34">
        <v>62.748199999999997</v>
      </c>
      <c r="L69" s="34">
        <v>-0.92114799999999997</v>
      </c>
      <c r="M69" s="34">
        <v>20</v>
      </c>
      <c r="N69" s="34" t="s">
        <v>28</v>
      </c>
      <c r="O69">
        <f t="shared" si="1"/>
        <v>8.1349000000000018</v>
      </c>
    </row>
    <row r="70" spans="1:15" x14ac:dyDescent="0.25">
      <c r="A70" s="34">
        <v>1.2</v>
      </c>
      <c r="B70" s="1">
        <v>68</v>
      </c>
      <c r="C70" s="34">
        <v>34</v>
      </c>
      <c r="D70" s="34">
        <v>-4.3376000000000001</v>
      </c>
      <c r="E70" s="34">
        <v>7.3766699999999998</v>
      </c>
      <c r="F70" s="34">
        <v>23</v>
      </c>
      <c r="G70" s="35">
        <v>6.4873E-5</v>
      </c>
      <c r="H70" s="35">
        <v>8.4162999999999994E-14</v>
      </c>
      <c r="I70" s="34">
        <v>26</v>
      </c>
      <c r="J70" s="34" t="s">
        <v>29</v>
      </c>
      <c r="K70" s="35">
        <v>4.9214800000000004E-13</v>
      </c>
      <c r="L70" s="35">
        <v>-7.15717E-18</v>
      </c>
      <c r="M70" s="34">
        <v>8</v>
      </c>
      <c r="N70" s="34" t="s">
        <v>29</v>
      </c>
      <c r="O70">
        <f t="shared" si="1"/>
        <v>11.714269999999999</v>
      </c>
    </row>
    <row r="71" spans="1:15" x14ac:dyDescent="0.25">
      <c r="A71" s="34">
        <v>1.2</v>
      </c>
      <c r="B71" s="1">
        <v>69</v>
      </c>
      <c r="C71" s="34">
        <v>-38</v>
      </c>
      <c r="D71" s="34">
        <v>-6.0519999999999996</v>
      </c>
      <c r="E71" s="34">
        <v>8.0051199999999998</v>
      </c>
      <c r="F71" s="34">
        <v>23</v>
      </c>
      <c r="G71" s="35">
        <v>-1.26444E-5</v>
      </c>
      <c r="H71" s="35">
        <v>3.19045E-15</v>
      </c>
      <c r="I71" s="34">
        <v>27</v>
      </c>
      <c r="J71" s="34" t="s">
        <v>29</v>
      </c>
      <c r="K71" s="35">
        <v>3.7707299999999999E-13</v>
      </c>
      <c r="L71" s="35">
        <v>-7.15717E-18</v>
      </c>
      <c r="M71" s="34">
        <v>8</v>
      </c>
      <c r="N71" s="34" t="s">
        <v>29</v>
      </c>
      <c r="O71">
        <f t="shared" si="1"/>
        <v>14.057119999999999</v>
      </c>
    </row>
    <row r="72" spans="1:15" x14ac:dyDescent="0.25">
      <c r="A72" s="34">
        <v>1.2</v>
      </c>
      <c r="B72" s="1">
        <v>70</v>
      </c>
      <c r="C72" s="34">
        <v>-65</v>
      </c>
      <c r="D72" s="34">
        <v>-9.7938600000000005</v>
      </c>
      <c r="E72" s="34">
        <v>14.4968</v>
      </c>
      <c r="F72" s="34">
        <v>26</v>
      </c>
      <c r="G72" s="35">
        <v>-6.5817199999999997E-5</v>
      </c>
      <c r="H72" s="35">
        <v>8.66308E-14</v>
      </c>
      <c r="I72" s="34">
        <v>28</v>
      </c>
      <c r="J72" s="34" t="s">
        <v>29</v>
      </c>
      <c r="K72" s="35">
        <v>1.0264999999999999E-12</v>
      </c>
      <c r="L72" s="35">
        <v>-7.15717E-18</v>
      </c>
      <c r="M72" s="34">
        <v>8</v>
      </c>
      <c r="N72" s="34" t="s">
        <v>29</v>
      </c>
      <c r="O72">
        <f t="shared" si="1"/>
        <v>24.290660000000003</v>
      </c>
    </row>
    <row r="73" spans="1:15" x14ac:dyDescent="0.25">
      <c r="A73" s="34">
        <v>1.2</v>
      </c>
      <c r="B73" s="1">
        <v>71</v>
      </c>
      <c r="C73" s="34">
        <v>54</v>
      </c>
      <c r="D73" s="34">
        <v>61.430100000000003</v>
      </c>
      <c r="E73" s="34">
        <v>64.699299999999994</v>
      </c>
      <c r="F73" s="34">
        <v>15</v>
      </c>
      <c r="G73" s="34">
        <v>62.748199999999997</v>
      </c>
      <c r="H73" s="34">
        <v>-0.92114799999999997</v>
      </c>
      <c r="I73" s="34">
        <v>24</v>
      </c>
      <c r="J73" s="34" t="s">
        <v>28</v>
      </c>
      <c r="K73" s="34">
        <v>62.748199999999997</v>
      </c>
      <c r="L73" s="34">
        <v>-0.92114799999999997</v>
      </c>
      <c r="M73" s="34">
        <v>16</v>
      </c>
      <c r="N73" s="34" t="s">
        <v>28</v>
      </c>
      <c r="O73">
        <f t="shared" si="1"/>
        <v>3.2691999999999908</v>
      </c>
    </row>
    <row r="74" spans="1:15" x14ac:dyDescent="0.25">
      <c r="A74" s="34">
        <v>1.2</v>
      </c>
      <c r="B74" s="1">
        <v>72</v>
      </c>
      <c r="C74" s="34">
        <v>83</v>
      </c>
      <c r="D74" s="34">
        <v>60.813899999999997</v>
      </c>
      <c r="E74" s="34">
        <v>67.593000000000004</v>
      </c>
      <c r="F74" s="34">
        <v>20</v>
      </c>
      <c r="G74" s="34">
        <v>62.748100000000001</v>
      </c>
      <c r="H74" s="34">
        <v>-0.92114799999999997</v>
      </c>
      <c r="I74" s="34">
        <v>25</v>
      </c>
      <c r="J74" s="34" t="s">
        <v>28</v>
      </c>
      <c r="K74" s="34">
        <v>62.748199999999997</v>
      </c>
      <c r="L74" s="34">
        <v>-0.92114799999999997</v>
      </c>
      <c r="M74" s="34">
        <v>20</v>
      </c>
      <c r="N74" s="34" t="s">
        <v>28</v>
      </c>
      <c r="O74">
        <f t="shared" si="1"/>
        <v>6.7791000000000068</v>
      </c>
    </row>
    <row r="75" spans="1:15" x14ac:dyDescent="0.25">
      <c r="A75" s="34">
        <v>1.2</v>
      </c>
      <c r="B75" s="1">
        <v>73</v>
      </c>
      <c r="C75" s="34">
        <v>-15</v>
      </c>
      <c r="D75" s="34">
        <v>-2.1608200000000002</v>
      </c>
      <c r="E75" s="34">
        <v>3.4884300000000001</v>
      </c>
      <c r="F75" s="34">
        <v>18</v>
      </c>
      <c r="G75" s="35">
        <v>-2.2933900000000001E-5</v>
      </c>
      <c r="H75" s="35">
        <v>1.05121E-14</v>
      </c>
      <c r="I75" s="34">
        <v>25</v>
      </c>
      <c r="J75" s="34" t="s">
        <v>29</v>
      </c>
      <c r="K75" s="35">
        <v>2.8377500000000002E-13</v>
      </c>
      <c r="L75" s="35">
        <v>-7.15717E-18</v>
      </c>
      <c r="M75" s="34">
        <v>8</v>
      </c>
      <c r="N75" s="34" t="s">
        <v>29</v>
      </c>
      <c r="O75">
        <f t="shared" si="1"/>
        <v>5.6492500000000003</v>
      </c>
    </row>
    <row r="76" spans="1:15" x14ac:dyDescent="0.25">
      <c r="A76" s="34">
        <v>1.2</v>
      </c>
      <c r="B76" s="1">
        <v>74</v>
      </c>
      <c r="C76" s="34">
        <v>-12</v>
      </c>
      <c r="D76" s="34">
        <v>-1.3006800000000001</v>
      </c>
      <c r="E76" s="34">
        <v>3.4070200000000002</v>
      </c>
      <c r="F76" s="34">
        <v>17</v>
      </c>
      <c r="G76" s="35">
        <v>1.3901400000000001E-6</v>
      </c>
      <c r="H76" s="35">
        <v>3.1492600000000001E-17</v>
      </c>
      <c r="I76" s="34">
        <v>25</v>
      </c>
      <c r="J76" s="34" t="s">
        <v>29</v>
      </c>
      <c r="K76" s="35">
        <v>3.0272899999999999E-13</v>
      </c>
      <c r="L76" s="35">
        <v>-7.15717E-18</v>
      </c>
      <c r="M76" s="34">
        <v>8</v>
      </c>
      <c r="N76" s="34" t="s">
        <v>29</v>
      </c>
      <c r="O76">
        <f t="shared" si="1"/>
        <v>4.7077</v>
      </c>
    </row>
    <row r="77" spans="1:15" x14ac:dyDescent="0.25">
      <c r="A77" s="34">
        <v>1.2</v>
      </c>
      <c r="B77" s="1">
        <v>75</v>
      </c>
      <c r="C77" s="34">
        <v>44</v>
      </c>
      <c r="D77" s="34">
        <v>-11.206099999999999</v>
      </c>
      <c r="E77" s="34">
        <v>5.6623999999999999</v>
      </c>
      <c r="F77" s="34">
        <v>25</v>
      </c>
      <c r="G77" s="35">
        <v>6.1210999999999994E-5</v>
      </c>
      <c r="H77" s="35">
        <v>7.4928600000000002E-14</v>
      </c>
      <c r="I77" s="34">
        <v>27</v>
      </c>
      <c r="J77" s="34" t="s">
        <v>29</v>
      </c>
      <c r="K77" s="35">
        <v>7.8609700000000002E-12</v>
      </c>
      <c r="L77" s="35">
        <v>-7.15717E-18</v>
      </c>
      <c r="M77" s="34">
        <v>8</v>
      </c>
      <c r="N77" s="34" t="s">
        <v>29</v>
      </c>
      <c r="O77">
        <f t="shared" si="1"/>
        <v>16.868499999999997</v>
      </c>
    </row>
    <row r="78" spans="1:15" x14ac:dyDescent="0.25">
      <c r="A78" s="34">
        <v>1.2</v>
      </c>
      <c r="B78" s="1">
        <v>76</v>
      </c>
      <c r="C78" s="34">
        <v>-57</v>
      </c>
      <c r="D78" s="34">
        <v>-10.994899999999999</v>
      </c>
      <c r="E78" s="34">
        <v>9.2473700000000001</v>
      </c>
      <c r="F78" s="34">
        <v>25</v>
      </c>
      <c r="G78" s="35">
        <v>4.6962200000000002E-5</v>
      </c>
      <c r="H78" s="35">
        <v>4.41018E-14</v>
      </c>
      <c r="I78" s="34">
        <v>28</v>
      </c>
      <c r="J78" s="34" t="s">
        <v>29</v>
      </c>
      <c r="K78" s="35">
        <v>4.7747999999999999E-11</v>
      </c>
      <c r="L78" s="35">
        <v>-7.15717E-18</v>
      </c>
      <c r="M78" s="34">
        <v>8</v>
      </c>
      <c r="N78" s="34" t="s">
        <v>29</v>
      </c>
      <c r="O78">
        <f t="shared" si="1"/>
        <v>20.242269999999998</v>
      </c>
    </row>
    <row r="79" spans="1:15" x14ac:dyDescent="0.25">
      <c r="A79" s="34">
        <v>1.2</v>
      </c>
      <c r="B79" s="1">
        <v>77</v>
      </c>
      <c r="C79" s="34">
        <v>-98</v>
      </c>
      <c r="D79" s="34">
        <v>-18.5032</v>
      </c>
      <c r="E79" s="34">
        <v>16.4755</v>
      </c>
      <c r="F79" s="34">
        <v>28</v>
      </c>
      <c r="G79" s="35">
        <v>-5.44151E-5</v>
      </c>
      <c r="H79" s="35">
        <v>5.9212900000000003E-14</v>
      </c>
      <c r="I79" s="34">
        <v>29</v>
      </c>
      <c r="J79" s="34" t="s">
        <v>29</v>
      </c>
      <c r="K79" s="35">
        <v>-3.1355599999999999E-9</v>
      </c>
      <c r="L79" s="35">
        <v>-7.1569700000000005E-18</v>
      </c>
      <c r="M79" s="34">
        <v>8</v>
      </c>
      <c r="N79" s="34" t="s">
        <v>29</v>
      </c>
      <c r="O79">
        <f t="shared" si="1"/>
        <v>34.978700000000003</v>
      </c>
    </row>
    <row r="80" spans="1:15" x14ac:dyDescent="0.25">
      <c r="A80" s="34">
        <v>1.2</v>
      </c>
      <c r="B80" s="1">
        <v>78</v>
      </c>
      <c r="C80" s="34">
        <v>-51</v>
      </c>
      <c r="D80" s="34">
        <v>-4.9948800000000002</v>
      </c>
      <c r="E80" s="34">
        <v>15.247400000000001</v>
      </c>
      <c r="F80" s="34">
        <v>25</v>
      </c>
      <c r="G80" s="35">
        <v>6.3656099999999995E-5</v>
      </c>
      <c r="H80" s="35">
        <v>8.1034699999999996E-14</v>
      </c>
      <c r="I80" s="34">
        <v>28</v>
      </c>
      <c r="J80" s="34" t="s">
        <v>29</v>
      </c>
      <c r="K80" s="35">
        <v>7.2444700000000001E-12</v>
      </c>
      <c r="L80" s="35">
        <v>-7.15717E-18</v>
      </c>
      <c r="M80" s="34">
        <v>8</v>
      </c>
      <c r="N80" s="34" t="s">
        <v>29</v>
      </c>
      <c r="O80">
        <f t="shared" si="1"/>
        <v>20.242280000000001</v>
      </c>
    </row>
    <row r="81" spans="1:15" x14ac:dyDescent="0.25">
      <c r="A81" s="34">
        <v>1.2</v>
      </c>
      <c r="B81" s="1">
        <v>79</v>
      </c>
      <c r="C81" s="34">
        <v>81</v>
      </c>
      <c r="D81" s="34">
        <v>58.813899999999997</v>
      </c>
      <c r="E81" s="34">
        <v>65.593000000000004</v>
      </c>
      <c r="F81" s="34">
        <v>20</v>
      </c>
      <c r="G81" s="34">
        <v>62.748199999999997</v>
      </c>
      <c r="H81" s="34">
        <v>-0.92114799999999997</v>
      </c>
      <c r="I81" s="34">
        <v>25</v>
      </c>
      <c r="J81" s="34" t="s">
        <v>28</v>
      </c>
      <c r="K81" s="34">
        <v>62.748199999999997</v>
      </c>
      <c r="L81" s="34">
        <v>-0.92114799999999997</v>
      </c>
      <c r="M81" s="34">
        <v>20</v>
      </c>
      <c r="N81" s="34" t="s">
        <v>28</v>
      </c>
      <c r="O81">
        <f t="shared" si="1"/>
        <v>6.7791000000000068</v>
      </c>
    </row>
    <row r="82" spans="1:15" x14ac:dyDescent="0.25">
      <c r="A82" s="34">
        <v>1.2</v>
      </c>
      <c r="B82" s="1">
        <v>80</v>
      </c>
      <c r="C82" s="34">
        <v>5</v>
      </c>
      <c r="D82" s="34">
        <v>-1.19174</v>
      </c>
      <c r="E82" s="34">
        <v>0.700183</v>
      </c>
      <c r="F82" s="34">
        <v>13</v>
      </c>
      <c r="G82" s="35">
        <v>1.3732E-5</v>
      </c>
      <c r="H82" s="35">
        <v>3.7642200000000003E-15</v>
      </c>
      <c r="I82" s="34">
        <v>23</v>
      </c>
      <c r="J82" s="34" t="s">
        <v>29</v>
      </c>
      <c r="K82" s="35">
        <v>2.3601799999999999E-13</v>
      </c>
      <c r="L82" s="35">
        <v>-7.15717E-18</v>
      </c>
      <c r="M82" s="34">
        <v>8</v>
      </c>
      <c r="N82" s="34" t="s">
        <v>29</v>
      </c>
      <c r="O82">
        <f t="shared" si="1"/>
        <v>1.891923</v>
      </c>
    </row>
    <row r="83" spans="1:15" x14ac:dyDescent="0.25">
      <c r="A83" s="34">
        <v>1.2</v>
      </c>
      <c r="B83" s="1">
        <v>81</v>
      </c>
      <c r="C83" s="34">
        <v>-5</v>
      </c>
      <c r="D83" s="34">
        <v>-0.700183</v>
      </c>
      <c r="E83" s="34">
        <v>1.19174</v>
      </c>
      <c r="F83" s="34">
        <v>12</v>
      </c>
      <c r="G83" s="35">
        <v>-1.3732E-5</v>
      </c>
      <c r="H83" s="35">
        <v>3.7642200000000003E-15</v>
      </c>
      <c r="I83" s="34">
        <v>23</v>
      </c>
      <c r="J83" s="34" t="s">
        <v>29</v>
      </c>
      <c r="K83" s="35">
        <v>2.3340399999999998E-13</v>
      </c>
      <c r="L83" s="35">
        <v>-7.15717E-18</v>
      </c>
      <c r="M83" s="34">
        <v>8</v>
      </c>
      <c r="N83" s="34" t="s">
        <v>29</v>
      </c>
      <c r="O83">
        <f t="shared" si="1"/>
        <v>1.891923</v>
      </c>
    </row>
    <row r="84" spans="1:15" x14ac:dyDescent="0.25">
      <c r="A84" s="34">
        <v>1.2</v>
      </c>
      <c r="B84" s="1">
        <v>82</v>
      </c>
      <c r="C84" s="34">
        <v>82</v>
      </c>
      <c r="D84" s="34">
        <v>59.813899999999997</v>
      </c>
      <c r="E84" s="34">
        <v>66.593000000000004</v>
      </c>
      <c r="F84" s="34">
        <v>20</v>
      </c>
      <c r="G84" s="34">
        <v>62.748100000000001</v>
      </c>
      <c r="H84" s="34">
        <v>-0.92114799999999997</v>
      </c>
      <c r="I84" s="34">
        <v>25</v>
      </c>
      <c r="J84" s="34" t="s">
        <v>28</v>
      </c>
      <c r="K84" s="34">
        <v>62.748199999999997</v>
      </c>
      <c r="L84" s="34">
        <v>-0.92114799999999997</v>
      </c>
      <c r="M84" s="34">
        <v>20</v>
      </c>
      <c r="N84" s="34" t="s">
        <v>28</v>
      </c>
      <c r="O84">
        <f t="shared" si="1"/>
        <v>6.7791000000000068</v>
      </c>
    </row>
    <row r="85" spans="1:15" x14ac:dyDescent="0.25">
      <c r="A85" s="34">
        <v>1.2</v>
      </c>
      <c r="B85" s="1">
        <v>83</v>
      </c>
      <c r="C85" s="34">
        <v>89</v>
      </c>
      <c r="D85" s="34">
        <v>57.052</v>
      </c>
      <c r="E85" s="34">
        <v>66.813900000000004</v>
      </c>
      <c r="F85" s="34">
        <v>22</v>
      </c>
      <c r="G85" s="34">
        <v>62.748100000000001</v>
      </c>
      <c r="H85" s="34">
        <v>-0.92114799999999997</v>
      </c>
      <c r="I85" s="34">
        <v>26</v>
      </c>
      <c r="J85" s="34" t="s">
        <v>28</v>
      </c>
      <c r="K85" s="34">
        <v>62.748199999999997</v>
      </c>
      <c r="L85" s="34">
        <v>-0.92114799999999997</v>
      </c>
      <c r="M85" s="34">
        <v>20</v>
      </c>
      <c r="N85" s="34" t="s">
        <v>28</v>
      </c>
      <c r="O85">
        <f t="shared" si="1"/>
        <v>9.7619000000000042</v>
      </c>
    </row>
    <row r="86" spans="1:15" x14ac:dyDescent="0.25">
      <c r="A86" s="34">
        <v>1.2</v>
      </c>
      <c r="B86" s="1">
        <v>84</v>
      </c>
      <c r="C86" s="34">
        <v>-97</v>
      </c>
      <c r="D86" s="34">
        <v>-17.5032</v>
      </c>
      <c r="E86" s="34">
        <v>17.4755</v>
      </c>
      <c r="F86" s="34">
        <v>28</v>
      </c>
      <c r="G86" s="35">
        <v>-3.8053299999999997E-5</v>
      </c>
      <c r="H86" s="35">
        <v>2.8953999999999998E-14</v>
      </c>
      <c r="I86" s="34">
        <v>29</v>
      </c>
      <c r="J86" s="34" t="s">
        <v>29</v>
      </c>
      <c r="K86" s="35">
        <v>-2.31442E-10</v>
      </c>
      <c r="L86" s="35">
        <v>-7.1571600000000002E-18</v>
      </c>
      <c r="M86" s="34">
        <v>8</v>
      </c>
      <c r="N86" s="34" t="s">
        <v>29</v>
      </c>
      <c r="O86">
        <f t="shared" si="1"/>
        <v>34.978700000000003</v>
      </c>
    </row>
    <row r="87" spans="1:15" x14ac:dyDescent="0.25">
      <c r="A87" s="34">
        <v>1.2</v>
      </c>
      <c r="B87" s="1">
        <v>85</v>
      </c>
      <c r="C87" s="34">
        <v>75</v>
      </c>
      <c r="D87" s="34">
        <v>59.593000000000004</v>
      </c>
      <c r="E87" s="34">
        <v>64.300700000000006</v>
      </c>
      <c r="F87" s="34">
        <v>18</v>
      </c>
      <c r="G87" s="34">
        <v>62.748100000000001</v>
      </c>
      <c r="H87" s="34">
        <v>-0.92114799999999997</v>
      </c>
      <c r="I87" s="34">
        <v>25</v>
      </c>
      <c r="J87" s="34" t="s">
        <v>28</v>
      </c>
      <c r="K87" s="34">
        <v>62.748199999999997</v>
      </c>
      <c r="L87" s="34">
        <v>-0.92114799999999997</v>
      </c>
      <c r="M87" s="34">
        <v>20</v>
      </c>
      <c r="N87" s="34" t="s">
        <v>28</v>
      </c>
      <c r="O87">
        <f t="shared" si="1"/>
        <v>4.7077000000000027</v>
      </c>
    </row>
    <row r="88" spans="1:15" x14ac:dyDescent="0.25">
      <c r="A88" s="34">
        <v>1.2</v>
      </c>
      <c r="B88" s="1">
        <v>86</v>
      </c>
      <c r="C88" s="34">
        <v>47</v>
      </c>
      <c r="D88" s="34">
        <v>59.839199999999998</v>
      </c>
      <c r="E88" s="34">
        <v>65.488399999999999</v>
      </c>
      <c r="F88" s="34">
        <v>18</v>
      </c>
      <c r="G88" s="34">
        <v>62.748100000000001</v>
      </c>
      <c r="H88" s="34">
        <v>-0.92114799999999997</v>
      </c>
      <c r="I88" s="34">
        <v>25</v>
      </c>
      <c r="J88" s="34" t="s">
        <v>28</v>
      </c>
      <c r="K88" s="34">
        <v>62.748199999999997</v>
      </c>
      <c r="L88" s="34">
        <v>-0.92114799999999997</v>
      </c>
      <c r="M88" s="34">
        <v>20</v>
      </c>
      <c r="N88" s="34" t="s">
        <v>28</v>
      </c>
      <c r="O88">
        <f t="shared" si="1"/>
        <v>5.6492000000000004</v>
      </c>
    </row>
    <row r="89" spans="1:15" x14ac:dyDescent="0.25">
      <c r="A89" s="34">
        <v>1.2</v>
      </c>
      <c r="B89" s="1">
        <v>87</v>
      </c>
      <c r="C89" s="34">
        <v>85</v>
      </c>
      <c r="D89" s="34">
        <v>58.3767</v>
      </c>
      <c r="E89" s="34">
        <v>66.511600000000001</v>
      </c>
      <c r="F89" s="34">
        <v>21</v>
      </c>
      <c r="G89" s="34">
        <v>62.748199999999997</v>
      </c>
      <c r="H89" s="34">
        <v>-0.92114799999999997</v>
      </c>
      <c r="I89" s="34">
        <v>26</v>
      </c>
      <c r="J89" s="34" t="s">
        <v>28</v>
      </c>
      <c r="K89" s="34">
        <v>62.748199999999997</v>
      </c>
      <c r="L89" s="34">
        <v>-0.92114799999999997</v>
      </c>
      <c r="M89" s="34">
        <v>20</v>
      </c>
      <c r="N89" s="34" t="s">
        <v>28</v>
      </c>
      <c r="O89">
        <f t="shared" si="1"/>
        <v>8.1349000000000018</v>
      </c>
    </row>
    <row r="90" spans="1:15" x14ac:dyDescent="0.25">
      <c r="A90" s="34">
        <v>1.2</v>
      </c>
      <c r="B90" s="1">
        <v>88</v>
      </c>
      <c r="C90" s="34">
        <v>-14</v>
      </c>
      <c r="D90" s="34">
        <v>-3.3006799999999998</v>
      </c>
      <c r="E90" s="34">
        <v>1.4070199999999999</v>
      </c>
      <c r="F90" s="34">
        <v>17</v>
      </c>
      <c r="G90" s="35">
        <v>-1.7868199999999999E-5</v>
      </c>
      <c r="H90" s="35">
        <v>6.3783000000000003E-15</v>
      </c>
      <c r="I90" s="34">
        <v>25</v>
      </c>
      <c r="J90" s="34" t="s">
        <v>29</v>
      </c>
      <c r="K90" s="35">
        <v>3.1887100000000001E-13</v>
      </c>
      <c r="L90" s="35">
        <v>-7.15717E-18</v>
      </c>
      <c r="M90" s="34">
        <v>8</v>
      </c>
      <c r="N90" s="34" t="s">
        <v>29</v>
      </c>
      <c r="O90">
        <f t="shared" si="1"/>
        <v>4.7077</v>
      </c>
    </row>
    <row r="91" spans="1:15" x14ac:dyDescent="0.25">
      <c r="A91" s="34">
        <v>1.2</v>
      </c>
      <c r="B91" s="1">
        <v>89</v>
      </c>
      <c r="C91" s="34">
        <v>-88</v>
      </c>
      <c r="D91" s="34">
        <v>-8.5031499999999998</v>
      </c>
      <c r="E91" s="34">
        <v>26.4755</v>
      </c>
      <c r="F91" s="34">
        <v>28</v>
      </c>
      <c r="G91" s="35">
        <v>4.1180699999999997E-5</v>
      </c>
      <c r="H91" s="35">
        <v>3.3909900000000003E-14</v>
      </c>
      <c r="I91" s="34">
        <v>29</v>
      </c>
      <c r="J91" s="34" t="s">
        <v>29</v>
      </c>
      <c r="K91" s="35">
        <v>2.2485300000000001E-13</v>
      </c>
      <c r="L91" s="35">
        <v>-7.15717E-18</v>
      </c>
      <c r="M91" s="34">
        <v>12</v>
      </c>
      <c r="N91" s="34" t="s">
        <v>29</v>
      </c>
      <c r="O91">
        <f t="shared" si="1"/>
        <v>34.978650000000002</v>
      </c>
    </row>
    <row r="92" spans="1:15" x14ac:dyDescent="0.25">
      <c r="A92" s="34">
        <v>1.2</v>
      </c>
      <c r="B92" s="1">
        <v>90</v>
      </c>
      <c r="C92" s="34">
        <v>-26</v>
      </c>
      <c r="D92" s="34">
        <v>-3.8138899999999998</v>
      </c>
      <c r="E92" s="34">
        <v>5.9480000000000004</v>
      </c>
      <c r="F92" s="34">
        <v>21</v>
      </c>
      <c r="G92" s="35">
        <v>-5.9284499999999998E-5</v>
      </c>
      <c r="H92" s="35">
        <v>7.0285799999999995E-14</v>
      </c>
      <c r="I92" s="34">
        <v>26</v>
      </c>
      <c r="J92" s="34" t="s">
        <v>29</v>
      </c>
      <c r="K92" s="35">
        <v>3.7145E-13</v>
      </c>
      <c r="L92" s="35">
        <v>-7.15717E-18</v>
      </c>
      <c r="M92" s="34">
        <v>8</v>
      </c>
      <c r="N92" s="34" t="s">
        <v>29</v>
      </c>
      <c r="O92">
        <f t="shared" si="1"/>
        <v>9.7618900000000011</v>
      </c>
    </row>
    <row r="93" spans="1:15" x14ac:dyDescent="0.25">
      <c r="A93" s="34">
        <v>1.2</v>
      </c>
      <c r="B93" s="1">
        <v>91</v>
      </c>
      <c r="C93" s="34">
        <v>95</v>
      </c>
      <c r="D93" s="34">
        <v>56.662399999999998</v>
      </c>
      <c r="E93" s="34">
        <v>68.3767</v>
      </c>
      <c r="F93" s="34">
        <v>23</v>
      </c>
      <c r="G93" s="34">
        <v>62.748100000000001</v>
      </c>
      <c r="H93" s="34">
        <v>-0.92114799999999997</v>
      </c>
      <c r="I93" s="34">
        <v>26</v>
      </c>
      <c r="J93" s="34" t="s">
        <v>28</v>
      </c>
      <c r="K93" s="34">
        <v>62.748199999999997</v>
      </c>
      <c r="L93" s="34">
        <v>-0.92114799999999997</v>
      </c>
      <c r="M93" s="34">
        <v>20</v>
      </c>
      <c r="N93" s="34" t="s">
        <v>28</v>
      </c>
      <c r="O93">
        <f t="shared" si="1"/>
        <v>11.714300000000001</v>
      </c>
    </row>
    <row r="94" spans="1:15" x14ac:dyDescent="0.25">
      <c r="A94" s="34">
        <v>1.2</v>
      </c>
      <c r="B94" s="1">
        <v>92</v>
      </c>
      <c r="C94" s="34">
        <v>-10</v>
      </c>
      <c r="D94" s="34">
        <v>-1.0839000000000001</v>
      </c>
      <c r="E94" s="34">
        <v>2.8391799999999998</v>
      </c>
      <c r="F94" s="34">
        <v>16</v>
      </c>
      <c r="G94" s="35">
        <v>-3.4168100000000002E-5</v>
      </c>
      <c r="H94" s="35">
        <v>2.3342000000000001E-14</v>
      </c>
      <c r="I94" s="34">
        <v>24</v>
      </c>
      <c r="J94" s="34" t="s">
        <v>29</v>
      </c>
      <c r="K94" s="35">
        <v>2.7810100000000002E-13</v>
      </c>
      <c r="L94" s="35">
        <v>-7.15717E-18</v>
      </c>
      <c r="M94" s="34">
        <v>8</v>
      </c>
      <c r="N94" s="34" t="s">
        <v>29</v>
      </c>
      <c r="O94">
        <f t="shared" si="1"/>
        <v>3.9230799999999997</v>
      </c>
    </row>
    <row r="95" spans="1:15" x14ac:dyDescent="0.25">
      <c r="A95" s="34">
        <v>1.2</v>
      </c>
      <c r="B95" s="1">
        <v>93</v>
      </c>
      <c r="C95" s="34">
        <v>35</v>
      </c>
      <c r="D95" s="34">
        <v>-3.3376000000000001</v>
      </c>
      <c r="E95" s="34">
        <v>8.3766700000000007</v>
      </c>
      <c r="F95" s="34">
        <v>23</v>
      </c>
      <c r="G95" s="35">
        <v>4.8848799999999999E-5</v>
      </c>
      <c r="H95" s="35">
        <v>4.7717000000000001E-14</v>
      </c>
      <c r="I95" s="34">
        <v>26</v>
      </c>
      <c r="J95" s="34" t="s">
        <v>29</v>
      </c>
      <c r="K95" s="35">
        <v>8.5437300000000004E-13</v>
      </c>
      <c r="L95" s="35">
        <v>-7.15717E-18</v>
      </c>
      <c r="M95" s="34">
        <v>8</v>
      </c>
      <c r="N95" s="34" t="s">
        <v>29</v>
      </c>
      <c r="O95">
        <f t="shared" si="1"/>
        <v>11.714270000000001</v>
      </c>
    </row>
    <row r="96" spans="1:15" x14ac:dyDescent="0.25">
      <c r="A96" s="34">
        <v>1.2</v>
      </c>
      <c r="B96" s="1">
        <v>94</v>
      </c>
      <c r="C96" s="34">
        <v>-60</v>
      </c>
      <c r="D96" s="34">
        <v>-13.994899999999999</v>
      </c>
      <c r="E96" s="34">
        <v>6.2473700000000001</v>
      </c>
      <c r="F96" s="34">
        <v>25</v>
      </c>
      <c r="G96" s="35">
        <v>3.8615300000000003E-5</v>
      </c>
      <c r="H96" s="35">
        <v>2.9815600000000003E-14</v>
      </c>
      <c r="I96" s="34">
        <v>28</v>
      </c>
      <c r="J96" s="34" t="s">
        <v>29</v>
      </c>
      <c r="K96" s="35">
        <v>1.5468599999999999E-11</v>
      </c>
      <c r="L96" s="35">
        <v>-7.15717E-18</v>
      </c>
      <c r="M96" s="34">
        <v>8</v>
      </c>
      <c r="N96" s="34" t="s">
        <v>29</v>
      </c>
      <c r="O96">
        <f t="shared" si="1"/>
        <v>20.242269999999998</v>
      </c>
    </row>
    <row r="97" spans="1:15" x14ac:dyDescent="0.25">
      <c r="A97" s="34">
        <v>1.2</v>
      </c>
      <c r="B97" s="1">
        <v>95</v>
      </c>
      <c r="C97" s="34">
        <v>28</v>
      </c>
      <c r="D97" s="34">
        <v>-3.948</v>
      </c>
      <c r="E97" s="34">
        <v>5.8138899999999998</v>
      </c>
      <c r="F97" s="34">
        <v>22</v>
      </c>
      <c r="G97" s="35">
        <v>4.3319099999999997E-5</v>
      </c>
      <c r="H97" s="35">
        <v>3.7523799999999998E-14</v>
      </c>
      <c r="I97" s="34">
        <v>26</v>
      </c>
      <c r="J97" s="34" t="s">
        <v>29</v>
      </c>
      <c r="K97" s="35">
        <v>3.48003E-13</v>
      </c>
      <c r="L97" s="35">
        <v>-7.15717E-18</v>
      </c>
      <c r="M97" s="34">
        <v>8</v>
      </c>
      <c r="N97" s="34" t="s">
        <v>29</v>
      </c>
      <c r="O97">
        <f t="shared" si="1"/>
        <v>9.7618899999999993</v>
      </c>
    </row>
    <row r="98" spans="1:15" x14ac:dyDescent="0.25">
      <c r="A98" s="34">
        <v>1.2</v>
      </c>
      <c r="B98" s="1">
        <v>96</v>
      </c>
      <c r="C98" s="34">
        <v>-6</v>
      </c>
      <c r="D98" s="34">
        <v>-0.84021999999999997</v>
      </c>
      <c r="E98" s="34">
        <v>1.43008</v>
      </c>
      <c r="F98" s="34">
        <v>13</v>
      </c>
      <c r="G98" s="35">
        <v>-1.6478400000000001E-5</v>
      </c>
      <c r="H98" s="35">
        <v>5.4236200000000004E-15</v>
      </c>
      <c r="I98" s="34">
        <v>23</v>
      </c>
      <c r="J98" s="34" t="s">
        <v>29</v>
      </c>
      <c r="K98" s="35">
        <v>2.3688399999999998E-13</v>
      </c>
      <c r="L98" s="35">
        <v>-7.15717E-18</v>
      </c>
      <c r="M98" s="34">
        <v>8</v>
      </c>
      <c r="N98" s="34" t="s">
        <v>29</v>
      </c>
      <c r="O98">
        <f t="shared" si="1"/>
        <v>2.2702999999999998</v>
      </c>
    </row>
    <row r="99" spans="1:15" x14ac:dyDescent="0.25">
      <c r="A99" s="34">
        <v>1.2</v>
      </c>
      <c r="B99" s="1">
        <v>97</v>
      </c>
      <c r="C99" s="34">
        <v>37</v>
      </c>
      <c r="D99" s="34">
        <v>-9.0051199999999998</v>
      </c>
      <c r="E99" s="34">
        <v>5.0519999999999996</v>
      </c>
      <c r="F99" s="34">
        <v>24</v>
      </c>
      <c r="G99" s="35">
        <v>-4.8041199999999997E-5</v>
      </c>
      <c r="H99" s="35">
        <v>4.6151999999999997E-14</v>
      </c>
      <c r="I99" s="34">
        <v>27</v>
      </c>
      <c r="J99" s="34" t="s">
        <v>29</v>
      </c>
      <c r="K99" s="35">
        <v>3.9100200000000003E-12</v>
      </c>
      <c r="L99" s="35">
        <v>-7.15717E-18</v>
      </c>
      <c r="M99" s="34">
        <v>8</v>
      </c>
      <c r="N99" s="34" t="s">
        <v>29</v>
      </c>
      <c r="O99">
        <f t="shared" si="1"/>
        <v>14.057119999999999</v>
      </c>
    </row>
    <row r="100" spans="1:15" x14ac:dyDescent="0.25">
      <c r="A100" s="34">
        <v>1.2</v>
      </c>
      <c r="B100" s="1">
        <v>98</v>
      </c>
      <c r="C100" s="34">
        <v>-34</v>
      </c>
      <c r="D100" s="34">
        <v>-7.3766699999999998</v>
      </c>
      <c r="E100" s="34">
        <v>4.3376000000000001</v>
      </c>
      <c r="F100" s="34">
        <v>22</v>
      </c>
      <c r="G100" s="35">
        <v>-6.4873E-5</v>
      </c>
      <c r="H100" s="35">
        <v>8.4162999999999994E-14</v>
      </c>
      <c r="I100" s="34">
        <v>26</v>
      </c>
      <c r="J100" s="34" t="s">
        <v>29</v>
      </c>
      <c r="K100" s="35">
        <v>1.9379800000000002E-12</v>
      </c>
      <c r="L100" s="35">
        <v>-7.15717E-18</v>
      </c>
      <c r="M100" s="34">
        <v>8</v>
      </c>
      <c r="N100" s="34" t="s">
        <v>29</v>
      </c>
      <c r="O100">
        <f t="shared" si="1"/>
        <v>11.714269999999999</v>
      </c>
    </row>
    <row r="101" spans="1:15" x14ac:dyDescent="0.25">
      <c r="A101" s="34">
        <v>1.2</v>
      </c>
      <c r="B101" s="1">
        <v>99</v>
      </c>
      <c r="C101" s="34">
        <v>81</v>
      </c>
      <c r="D101" s="34">
        <v>58.813899999999997</v>
      </c>
      <c r="E101" s="34">
        <v>65.593000000000004</v>
      </c>
      <c r="F101" s="34">
        <v>20</v>
      </c>
      <c r="G101" s="34">
        <v>62.748199999999997</v>
      </c>
      <c r="H101" s="34">
        <v>-0.92114799999999997</v>
      </c>
      <c r="I101" s="34">
        <v>25</v>
      </c>
      <c r="J101" s="34" t="s">
        <v>28</v>
      </c>
      <c r="K101" s="34">
        <v>62.748199999999997</v>
      </c>
      <c r="L101" s="34">
        <v>-0.92114799999999997</v>
      </c>
      <c r="M101" s="34">
        <v>20</v>
      </c>
      <c r="N101" s="34" t="s">
        <v>28</v>
      </c>
      <c r="O101">
        <f t="shared" si="1"/>
        <v>6.7791000000000068</v>
      </c>
    </row>
    <row r="102" spans="1:15" ht="15.75" thickBot="1" x14ac:dyDescent="0.3">
      <c r="A102" s="5">
        <v>1.2</v>
      </c>
      <c r="B102" s="3">
        <v>100</v>
      </c>
      <c r="C102" s="5">
        <v>99</v>
      </c>
      <c r="D102" s="5">
        <v>52.994900000000001</v>
      </c>
      <c r="E102" s="5">
        <v>67.052000000000007</v>
      </c>
      <c r="F102" s="5">
        <v>24</v>
      </c>
      <c r="G102" s="5">
        <v>62.748100000000001</v>
      </c>
      <c r="H102" s="5">
        <v>-0.92114799999999997</v>
      </c>
      <c r="I102" s="5">
        <v>27</v>
      </c>
      <c r="J102" s="5" t="s">
        <v>28</v>
      </c>
      <c r="K102" s="5">
        <v>62.748199999999997</v>
      </c>
      <c r="L102" s="5">
        <v>-0.92114799999999997</v>
      </c>
      <c r="M102" s="5">
        <v>28</v>
      </c>
      <c r="N102" s="5" t="s">
        <v>28</v>
      </c>
      <c r="O102">
        <f t="shared" si="1"/>
        <v>14.057100000000005</v>
      </c>
    </row>
    <row r="103" spans="1:15" x14ac:dyDescent="0.25">
      <c r="A103" s="36">
        <v>1.5</v>
      </c>
      <c r="B103" s="4">
        <v>1</v>
      </c>
      <c r="C103" s="36">
        <v>1</v>
      </c>
      <c r="D103" s="36">
        <v>-0.5</v>
      </c>
      <c r="E103" s="36">
        <v>1</v>
      </c>
      <c r="F103" s="36">
        <v>4</v>
      </c>
      <c r="G103" s="37">
        <v>-1.4115500000000001E-5</v>
      </c>
      <c r="H103" s="37">
        <v>3.9778000000000001E-15</v>
      </c>
      <c r="I103" s="36">
        <v>22</v>
      </c>
      <c r="J103" s="36" t="s">
        <v>29</v>
      </c>
      <c r="K103" s="37">
        <v>2.3139699999999999E-13</v>
      </c>
      <c r="L103" s="37">
        <v>-7.15717E-18</v>
      </c>
      <c r="M103" s="36">
        <v>8</v>
      </c>
      <c r="N103" s="36" t="s">
        <v>29</v>
      </c>
      <c r="O103">
        <f t="shared" si="1"/>
        <v>1.5</v>
      </c>
    </row>
    <row r="104" spans="1:15" x14ac:dyDescent="0.25">
      <c r="A104" s="34">
        <v>1.5</v>
      </c>
      <c r="B104" s="1">
        <v>2</v>
      </c>
      <c r="C104" s="34">
        <v>35</v>
      </c>
      <c r="D104" s="34">
        <v>-22.664999999999999</v>
      </c>
      <c r="E104" s="34">
        <v>9.3710900000000006</v>
      </c>
      <c r="F104" s="34">
        <v>13</v>
      </c>
      <c r="G104" s="35">
        <v>5.6567000000000002E-5</v>
      </c>
      <c r="H104" s="35">
        <v>6.39893E-14</v>
      </c>
      <c r="I104" s="34">
        <v>29</v>
      </c>
      <c r="J104" s="34" t="s">
        <v>29</v>
      </c>
      <c r="K104" s="35">
        <v>2.5364199999999998E-10</v>
      </c>
      <c r="L104" s="35">
        <v>-7.1571600000000002E-18</v>
      </c>
      <c r="M104" s="34">
        <v>8</v>
      </c>
      <c r="N104" s="34" t="s">
        <v>29</v>
      </c>
      <c r="O104">
        <f t="shared" si="1"/>
        <v>32.036090000000002</v>
      </c>
    </row>
    <row r="105" spans="1:15" x14ac:dyDescent="0.25">
      <c r="A105" s="34">
        <v>1.5</v>
      </c>
      <c r="B105" s="1">
        <v>3</v>
      </c>
      <c r="C105" s="34">
        <v>34</v>
      </c>
      <c r="D105" s="34">
        <v>-23.664999999999999</v>
      </c>
      <c r="E105" s="34">
        <v>8.3710900000000006</v>
      </c>
      <c r="F105" s="34">
        <v>13</v>
      </c>
      <c r="G105" s="35">
        <v>-3.8854199999999998E-5</v>
      </c>
      <c r="H105" s="35">
        <v>3.0185900000000002E-14</v>
      </c>
      <c r="I105" s="34">
        <v>29</v>
      </c>
      <c r="J105" s="34" t="s">
        <v>29</v>
      </c>
      <c r="K105" s="35">
        <v>1.25547E-10</v>
      </c>
      <c r="L105" s="35">
        <v>-7.15717E-18</v>
      </c>
      <c r="M105" s="34">
        <v>8</v>
      </c>
      <c r="N105" s="34" t="s">
        <v>29</v>
      </c>
      <c r="O105">
        <f t="shared" si="1"/>
        <v>32.036090000000002</v>
      </c>
    </row>
    <row r="106" spans="1:15" x14ac:dyDescent="0.25">
      <c r="A106" s="34">
        <v>1.5</v>
      </c>
      <c r="B106" s="1">
        <v>4</v>
      </c>
      <c r="C106" s="34">
        <v>39</v>
      </c>
      <c r="D106" s="34">
        <v>-18.664999999999999</v>
      </c>
      <c r="E106" s="34">
        <v>13.3711</v>
      </c>
      <c r="F106" s="34">
        <v>13</v>
      </c>
      <c r="G106" s="35">
        <v>-6.0142900000000003E-5</v>
      </c>
      <c r="H106" s="35">
        <v>7.2336299999999995E-14</v>
      </c>
      <c r="I106" s="34">
        <v>29</v>
      </c>
      <c r="J106" s="34" t="s">
        <v>29</v>
      </c>
      <c r="K106" s="35">
        <v>1.6988899999999999E-9</v>
      </c>
      <c r="L106" s="35">
        <v>-7.15711E-18</v>
      </c>
      <c r="M106" s="34">
        <v>8</v>
      </c>
      <c r="N106" s="34" t="s">
        <v>29</v>
      </c>
      <c r="O106">
        <f t="shared" si="1"/>
        <v>32.036099999999998</v>
      </c>
    </row>
    <row r="107" spans="1:15" x14ac:dyDescent="0.25">
      <c r="A107" s="34">
        <v>1.5</v>
      </c>
      <c r="B107" s="1">
        <v>5</v>
      </c>
      <c r="C107" s="34">
        <v>-77</v>
      </c>
      <c r="D107" s="34">
        <v>9.49756</v>
      </c>
      <c r="E107" s="34">
        <v>117.62</v>
      </c>
      <c r="F107" s="34">
        <v>15</v>
      </c>
      <c r="G107" s="34">
        <v>62.748100000000001</v>
      </c>
      <c r="H107" s="34">
        <v>-0.92114799999999997</v>
      </c>
      <c r="I107" s="34">
        <v>31</v>
      </c>
      <c r="J107" s="34" t="s">
        <v>28</v>
      </c>
      <c r="K107" s="34">
        <v>60.022199999999998</v>
      </c>
      <c r="L107" s="34">
        <v>-0.81580699999999995</v>
      </c>
      <c r="M107" s="34">
        <v>7</v>
      </c>
      <c r="N107" s="34" t="s">
        <v>29</v>
      </c>
      <c r="O107">
        <f t="shared" si="1"/>
        <v>108.12244000000001</v>
      </c>
    </row>
    <row r="108" spans="1:15" x14ac:dyDescent="0.25">
      <c r="A108" s="34">
        <v>1.5</v>
      </c>
      <c r="B108" s="1">
        <v>6</v>
      </c>
      <c r="C108" s="34">
        <v>-22</v>
      </c>
      <c r="D108" s="34">
        <v>-4.9140600000000001</v>
      </c>
      <c r="E108" s="34">
        <v>16.4434</v>
      </c>
      <c r="F108" s="34">
        <v>11</v>
      </c>
      <c r="G108" s="35">
        <v>2.4161199999999998E-5</v>
      </c>
      <c r="H108" s="35">
        <v>1.16682E-14</v>
      </c>
      <c r="I108" s="34">
        <v>28</v>
      </c>
      <c r="J108" s="34" t="s">
        <v>29</v>
      </c>
      <c r="K108" s="35">
        <v>1.2028499999999999E-11</v>
      </c>
      <c r="L108" s="35">
        <v>-7.15717E-18</v>
      </c>
      <c r="M108" s="34">
        <v>8</v>
      </c>
      <c r="N108" s="34" t="s">
        <v>29</v>
      </c>
      <c r="O108">
        <f t="shared" si="1"/>
        <v>21.35746</v>
      </c>
    </row>
    <row r="109" spans="1:15" x14ac:dyDescent="0.25">
      <c r="A109" s="34">
        <v>1.5</v>
      </c>
      <c r="B109" s="1">
        <v>7</v>
      </c>
      <c r="C109" s="34">
        <v>82</v>
      </c>
      <c r="D109" s="34">
        <v>56.371099999999998</v>
      </c>
      <c r="E109" s="34">
        <v>70.609399999999994</v>
      </c>
      <c r="F109" s="34">
        <v>11</v>
      </c>
      <c r="G109" s="34">
        <v>62.748100000000001</v>
      </c>
      <c r="H109" s="34">
        <v>-0.92114799999999997</v>
      </c>
      <c r="I109" s="34">
        <v>27</v>
      </c>
      <c r="J109" s="34" t="s">
        <v>28</v>
      </c>
      <c r="K109" s="34">
        <v>62.748199999999997</v>
      </c>
      <c r="L109" s="34">
        <v>-0.92114799999999997</v>
      </c>
      <c r="M109" s="34">
        <v>24</v>
      </c>
      <c r="N109" s="34" t="s">
        <v>28</v>
      </c>
      <c r="O109">
        <f t="shared" si="1"/>
        <v>14.238299999999995</v>
      </c>
    </row>
    <row r="110" spans="1:15" x14ac:dyDescent="0.25">
      <c r="A110" s="34">
        <v>1.5</v>
      </c>
      <c r="B110" s="1">
        <v>8</v>
      </c>
      <c r="C110" s="34">
        <v>77</v>
      </c>
      <c r="D110" s="34">
        <v>51.371099999999998</v>
      </c>
      <c r="E110" s="34">
        <v>65.609399999999994</v>
      </c>
      <c r="F110" s="34">
        <v>11</v>
      </c>
      <c r="G110" s="34">
        <v>62.748199999999997</v>
      </c>
      <c r="H110" s="34">
        <v>-0.92114799999999997</v>
      </c>
      <c r="I110" s="34">
        <v>27</v>
      </c>
      <c r="J110" s="34" t="s">
        <v>28</v>
      </c>
      <c r="K110" s="34">
        <v>62.748199999999997</v>
      </c>
      <c r="L110" s="34">
        <v>-0.92114799999999997</v>
      </c>
      <c r="M110" s="34">
        <v>28</v>
      </c>
      <c r="N110" s="34" t="s">
        <v>28</v>
      </c>
      <c r="O110">
        <f t="shared" si="1"/>
        <v>14.238299999999995</v>
      </c>
    </row>
    <row r="111" spans="1:15" x14ac:dyDescent="0.25">
      <c r="A111" s="34">
        <v>1.5</v>
      </c>
      <c r="B111" s="1">
        <v>9</v>
      </c>
      <c r="C111" s="34">
        <v>-21</v>
      </c>
      <c r="D111" s="34">
        <v>-9.6093799999999998</v>
      </c>
      <c r="E111" s="34">
        <v>4.6289100000000003</v>
      </c>
      <c r="F111" s="34">
        <v>10</v>
      </c>
      <c r="G111" s="35">
        <v>4.0421199999999998E-5</v>
      </c>
      <c r="H111" s="35">
        <v>3.2670299999999998E-14</v>
      </c>
      <c r="I111" s="34">
        <v>27</v>
      </c>
      <c r="J111" s="34" t="s">
        <v>29</v>
      </c>
      <c r="K111" s="35">
        <v>3.3113999999999998E-12</v>
      </c>
      <c r="L111" s="35">
        <v>-7.15717E-18</v>
      </c>
      <c r="M111" s="34">
        <v>8</v>
      </c>
      <c r="N111" s="34" t="s">
        <v>29</v>
      </c>
      <c r="O111">
        <f t="shared" si="1"/>
        <v>14.238289999999999</v>
      </c>
    </row>
    <row r="112" spans="1:15" x14ac:dyDescent="0.25">
      <c r="A112" s="34">
        <v>1.5</v>
      </c>
      <c r="B112" s="1">
        <v>10</v>
      </c>
      <c r="C112" s="34">
        <v>16</v>
      </c>
      <c r="D112" s="34">
        <v>-9.6289099999999994</v>
      </c>
      <c r="E112" s="34">
        <v>4.6093799999999998</v>
      </c>
      <c r="F112" s="34">
        <v>11</v>
      </c>
      <c r="G112" s="35">
        <v>-6.35901E-5</v>
      </c>
      <c r="H112" s="35">
        <v>8.0866799999999996E-14</v>
      </c>
      <c r="I112" s="34">
        <v>27</v>
      </c>
      <c r="J112" s="34" t="s">
        <v>29</v>
      </c>
      <c r="K112" s="35">
        <v>3.27944E-12</v>
      </c>
      <c r="L112" s="35">
        <v>-7.15717E-18</v>
      </c>
      <c r="M112" s="34">
        <v>8</v>
      </c>
      <c r="N112" s="34" t="s">
        <v>29</v>
      </c>
      <c r="O112">
        <f t="shared" si="1"/>
        <v>14.238289999999999</v>
      </c>
    </row>
    <row r="113" spans="1:15" x14ac:dyDescent="0.25">
      <c r="A113" s="34">
        <v>1.5</v>
      </c>
      <c r="B113" s="1">
        <v>11</v>
      </c>
      <c r="C113" s="34">
        <v>-66</v>
      </c>
      <c r="D113" s="34">
        <v>-27.5566</v>
      </c>
      <c r="E113" s="34">
        <v>20.497599999999998</v>
      </c>
      <c r="F113" s="34">
        <v>13</v>
      </c>
      <c r="G113" s="35">
        <v>-6.4750600000000003E-5</v>
      </c>
      <c r="H113" s="35">
        <v>8.3845600000000001E-14</v>
      </c>
      <c r="I113" s="34">
        <v>29</v>
      </c>
      <c r="J113" s="34" t="s">
        <v>29</v>
      </c>
      <c r="K113" s="35">
        <v>-1.35965E-6</v>
      </c>
      <c r="L113" s="35">
        <v>2.9815800000000001E-17</v>
      </c>
      <c r="M113" s="34">
        <v>8</v>
      </c>
      <c r="N113" s="34" t="s">
        <v>29</v>
      </c>
      <c r="O113">
        <f t="shared" si="1"/>
        <v>48.054199999999994</v>
      </c>
    </row>
    <row r="114" spans="1:15" x14ac:dyDescent="0.25">
      <c r="A114" s="34">
        <v>1.5</v>
      </c>
      <c r="B114" s="1">
        <v>12</v>
      </c>
      <c r="C114" s="34">
        <v>26</v>
      </c>
      <c r="D114" s="34">
        <v>-12.4434</v>
      </c>
      <c r="E114" s="34">
        <v>8.9140599999999992</v>
      </c>
      <c r="F114" s="34">
        <v>12</v>
      </c>
      <c r="G114" s="35">
        <v>6.6749900000000003E-5</v>
      </c>
      <c r="H114" s="35">
        <v>8.9103899999999999E-14</v>
      </c>
      <c r="I114" s="34">
        <v>28</v>
      </c>
      <c r="J114" s="34" t="s">
        <v>29</v>
      </c>
      <c r="K114" s="35">
        <v>6.9046500000000006E-11</v>
      </c>
      <c r="L114" s="35">
        <v>-7.15717E-18</v>
      </c>
      <c r="M114" s="34">
        <v>8</v>
      </c>
      <c r="N114" s="34" t="s">
        <v>29</v>
      </c>
      <c r="O114">
        <f t="shared" si="1"/>
        <v>21.35746</v>
      </c>
    </row>
    <row r="115" spans="1:15" x14ac:dyDescent="0.25">
      <c r="A115" s="34">
        <v>1.5</v>
      </c>
      <c r="B115" s="1">
        <v>13</v>
      </c>
      <c r="C115" s="34">
        <v>-50</v>
      </c>
      <c r="D115" s="34">
        <v>-11.5566</v>
      </c>
      <c r="E115" s="34">
        <v>36.497599999999998</v>
      </c>
      <c r="F115" s="34">
        <v>13</v>
      </c>
      <c r="G115" s="35">
        <v>6.0253600000000002E-5</v>
      </c>
      <c r="H115" s="35">
        <v>7.2602699999999995E-14</v>
      </c>
      <c r="I115" s="34">
        <v>29</v>
      </c>
      <c r="J115" s="34" t="s">
        <v>29</v>
      </c>
      <c r="K115" s="35">
        <v>2.2681899999999999E-13</v>
      </c>
      <c r="L115" s="35">
        <v>-7.15717E-18</v>
      </c>
      <c r="M115" s="34">
        <v>12</v>
      </c>
      <c r="N115" s="34" t="s">
        <v>29</v>
      </c>
      <c r="O115">
        <f t="shared" si="1"/>
        <v>48.054199999999994</v>
      </c>
    </row>
    <row r="116" spans="1:15" x14ac:dyDescent="0.25">
      <c r="A116" s="34">
        <v>1.5</v>
      </c>
      <c r="B116" s="1">
        <v>14</v>
      </c>
      <c r="C116" s="34">
        <v>-77</v>
      </c>
      <c r="D116" s="34">
        <v>9.49756</v>
      </c>
      <c r="E116" s="34">
        <v>117.62</v>
      </c>
      <c r="F116" s="34">
        <v>15</v>
      </c>
      <c r="G116" s="34">
        <v>62.748100000000001</v>
      </c>
      <c r="H116" s="34">
        <v>-0.92114799999999997</v>
      </c>
      <c r="I116" s="34">
        <v>31</v>
      </c>
      <c r="J116" s="34" t="s">
        <v>28</v>
      </c>
      <c r="K116" s="34">
        <v>60.022199999999998</v>
      </c>
      <c r="L116" s="34">
        <v>-0.81580699999999995</v>
      </c>
      <c r="M116" s="34">
        <v>7</v>
      </c>
      <c r="N116" s="34" t="s">
        <v>29</v>
      </c>
      <c r="O116">
        <f t="shared" si="1"/>
        <v>108.12244000000001</v>
      </c>
    </row>
    <row r="117" spans="1:15" x14ac:dyDescent="0.25">
      <c r="A117" s="34">
        <v>1.5</v>
      </c>
      <c r="B117" s="1">
        <v>15</v>
      </c>
      <c r="C117" s="34">
        <v>30</v>
      </c>
      <c r="D117" s="34">
        <v>-8.4433600000000002</v>
      </c>
      <c r="E117" s="34">
        <v>12.914099999999999</v>
      </c>
      <c r="F117" s="34">
        <v>12</v>
      </c>
      <c r="G117" s="35">
        <v>-4.3943799999999998E-5</v>
      </c>
      <c r="H117" s="35">
        <v>3.8613999999999998E-14</v>
      </c>
      <c r="I117" s="34">
        <v>28</v>
      </c>
      <c r="J117" s="34" t="s">
        <v>29</v>
      </c>
      <c r="K117" s="35">
        <v>9.1517299999999994E-13</v>
      </c>
      <c r="L117" s="35">
        <v>-7.15717E-18</v>
      </c>
      <c r="M117" s="34">
        <v>8</v>
      </c>
      <c r="N117" s="34" t="s">
        <v>29</v>
      </c>
      <c r="O117">
        <f t="shared" si="1"/>
        <v>21.35746</v>
      </c>
    </row>
    <row r="118" spans="1:15" x14ac:dyDescent="0.25">
      <c r="A118" s="34">
        <v>1.5</v>
      </c>
      <c r="B118" s="1">
        <v>16</v>
      </c>
      <c r="C118" s="34">
        <v>-74</v>
      </c>
      <c r="D118" s="34">
        <v>12.4976</v>
      </c>
      <c r="E118" s="34">
        <v>120.62</v>
      </c>
      <c r="F118" s="34">
        <v>15</v>
      </c>
      <c r="G118" s="34">
        <v>62.748100000000001</v>
      </c>
      <c r="H118" s="34">
        <v>-0.92114799999999997</v>
      </c>
      <c r="I118" s="34">
        <v>31</v>
      </c>
      <c r="J118" s="34" t="s">
        <v>28</v>
      </c>
      <c r="K118" s="34">
        <v>45.422199999999997</v>
      </c>
      <c r="L118" s="34">
        <v>4.94379E-2</v>
      </c>
      <c r="M118" s="34">
        <v>11</v>
      </c>
      <c r="N118" s="34" t="s">
        <v>29</v>
      </c>
      <c r="O118">
        <f t="shared" si="1"/>
        <v>108.1224</v>
      </c>
    </row>
    <row r="119" spans="1:15" x14ac:dyDescent="0.25">
      <c r="A119" s="34">
        <v>1.5</v>
      </c>
      <c r="B119" s="1">
        <v>17</v>
      </c>
      <c r="C119" s="34">
        <v>70</v>
      </c>
      <c r="D119" s="34">
        <v>58.609400000000001</v>
      </c>
      <c r="E119" s="34">
        <v>64.9375</v>
      </c>
      <c r="F119" s="34">
        <v>9</v>
      </c>
      <c r="G119" s="34">
        <v>62.748199999999997</v>
      </c>
      <c r="H119" s="34">
        <v>-0.92114799999999997</v>
      </c>
      <c r="I119" s="34">
        <v>25</v>
      </c>
      <c r="J119" s="34" t="s">
        <v>28</v>
      </c>
      <c r="K119" s="34">
        <v>62.748199999999997</v>
      </c>
      <c r="L119" s="34">
        <v>-0.92114799999999997</v>
      </c>
      <c r="M119" s="34">
        <v>20</v>
      </c>
      <c r="N119" s="34" t="s">
        <v>28</v>
      </c>
      <c r="O119">
        <f t="shared" si="1"/>
        <v>6.3280999999999992</v>
      </c>
    </row>
    <row r="120" spans="1:15" x14ac:dyDescent="0.25">
      <c r="A120" s="34">
        <v>1.5</v>
      </c>
      <c r="B120" s="1">
        <v>18</v>
      </c>
      <c r="C120" s="34">
        <v>15</v>
      </c>
      <c r="D120" s="34">
        <v>-10.6289</v>
      </c>
      <c r="E120" s="34">
        <v>3.6093799999999998</v>
      </c>
      <c r="F120" s="34">
        <v>11</v>
      </c>
      <c r="G120" s="35">
        <v>-6.8223800000000002E-5</v>
      </c>
      <c r="H120" s="35">
        <v>9.3082699999999999E-14</v>
      </c>
      <c r="I120" s="34">
        <v>27</v>
      </c>
      <c r="J120" s="34" t="s">
        <v>29</v>
      </c>
      <c r="K120" s="35">
        <v>1.8738100000000001E-12</v>
      </c>
      <c r="L120" s="35">
        <v>-7.15717E-18</v>
      </c>
      <c r="M120" s="34">
        <v>8</v>
      </c>
      <c r="N120" s="34" t="s">
        <v>29</v>
      </c>
      <c r="O120">
        <f t="shared" si="1"/>
        <v>14.23828</v>
      </c>
    </row>
    <row r="121" spans="1:15" x14ac:dyDescent="0.25">
      <c r="A121" s="34">
        <v>1.5</v>
      </c>
      <c r="B121" s="1">
        <v>19</v>
      </c>
      <c r="C121" s="34">
        <v>12</v>
      </c>
      <c r="D121" s="34">
        <v>-5.0859399999999999</v>
      </c>
      <c r="E121" s="34">
        <v>4.40625</v>
      </c>
      <c r="F121" s="34">
        <v>10</v>
      </c>
      <c r="G121" s="35">
        <v>6.49685E-5</v>
      </c>
      <c r="H121" s="35">
        <v>8.4410900000000005E-14</v>
      </c>
      <c r="I121" s="34">
        <v>26</v>
      </c>
      <c r="J121" s="34" t="s">
        <v>29</v>
      </c>
      <c r="K121" s="35">
        <v>7.1752500000000001E-13</v>
      </c>
      <c r="L121" s="35">
        <v>-7.15717E-18</v>
      </c>
      <c r="M121" s="34">
        <v>8</v>
      </c>
      <c r="N121" s="34" t="s">
        <v>29</v>
      </c>
      <c r="O121">
        <f t="shared" si="1"/>
        <v>9.4921900000000008</v>
      </c>
    </row>
    <row r="122" spans="1:15" x14ac:dyDescent="0.25">
      <c r="A122" s="34">
        <v>1.5</v>
      </c>
      <c r="B122" s="1">
        <v>20</v>
      </c>
      <c r="C122" s="34">
        <v>34</v>
      </c>
      <c r="D122" s="34">
        <v>-23.664999999999999</v>
      </c>
      <c r="E122" s="34">
        <v>8.3710900000000006</v>
      </c>
      <c r="F122" s="34">
        <v>13</v>
      </c>
      <c r="G122" s="35">
        <v>-3.8854199999999998E-5</v>
      </c>
      <c r="H122" s="35">
        <v>3.0185900000000002E-14</v>
      </c>
      <c r="I122" s="34">
        <v>29</v>
      </c>
      <c r="J122" s="34" t="s">
        <v>29</v>
      </c>
      <c r="K122" s="35">
        <v>1.25547E-10</v>
      </c>
      <c r="L122" s="35">
        <v>-7.15717E-18</v>
      </c>
      <c r="M122" s="34">
        <v>8</v>
      </c>
      <c r="N122" s="34" t="s">
        <v>29</v>
      </c>
      <c r="O122">
        <f t="shared" si="1"/>
        <v>32.036090000000002</v>
      </c>
    </row>
    <row r="123" spans="1:15" x14ac:dyDescent="0.25">
      <c r="A123" s="34">
        <v>1.5</v>
      </c>
      <c r="B123" s="1">
        <v>21</v>
      </c>
      <c r="C123" s="34">
        <v>41</v>
      </c>
      <c r="D123" s="34">
        <v>-16.664999999999999</v>
      </c>
      <c r="E123" s="34">
        <v>15.3711</v>
      </c>
      <c r="F123" s="34">
        <v>13</v>
      </c>
      <c r="G123" s="35">
        <v>-5.6198600000000001E-5</v>
      </c>
      <c r="H123" s="35">
        <v>6.3158400000000003E-14</v>
      </c>
      <c r="I123" s="34">
        <v>29</v>
      </c>
      <c r="J123" s="34" t="s">
        <v>29</v>
      </c>
      <c r="K123" s="35">
        <v>3.6515799999999999E-10</v>
      </c>
      <c r="L123" s="35">
        <v>-7.1571600000000002E-18</v>
      </c>
      <c r="M123" s="34">
        <v>8</v>
      </c>
      <c r="N123" s="34" t="s">
        <v>29</v>
      </c>
      <c r="O123">
        <f t="shared" si="1"/>
        <v>32.036099999999998</v>
      </c>
    </row>
    <row r="124" spans="1:15" x14ac:dyDescent="0.25">
      <c r="A124" s="34">
        <v>1.5</v>
      </c>
      <c r="B124" s="1">
        <v>22</v>
      </c>
      <c r="C124" s="34">
        <v>-41</v>
      </c>
      <c r="D124" s="34">
        <v>-15.3711</v>
      </c>
      <c r="E124" s="34">
        <v>16.664999999999999</v>
      </c>
      <c r="F124" s="34">
        <v>12</v>
      </c>
      <c r="G124" s="35">
        <v>5.6198600000000001E-5</v>
      </c>
      <c r="H124" s="35">
        <v>6.3158400000000003E-14</v>
      </c>
      <c r="I124" s="34">
        <v>29</v>
      </c>
      <c r="J124" s="34" t="s">
        <v>29</v>
      </c>
      <c r="K124" s="35">
        <v>3.2968599999999999E-13</v>
      </c>
      <c r="L124" s="35">
        <v>-7.15717E-18</v>
      </c>
      <c r="M124" s="34">
        <v>8</v>
      </c>
      <c r="N124" s="34" t="s">
        <v>29</v>
      </c>
      <c r="O124">
        <f t="shared" si="1"/>
        <v>32.036099999999998</v>
      </c>
    </row>
    <row r="125" spans="1:15" x14ac:dyDescent="0.25">
      <c r="A125" s="34">
        <v>1.5</v>
      </c>
      <c r="B125" s="1">
        <v>23</v>
      </c>
      <c r="C125" s="34">
        <v>76</v>
      </c>
      <c r="D125" s="34">
        <v>58.914099999999998</v>
      </c>
      <c r="E125" s="34">
        <v>68.406199999999998</v>
      </c>
      <c r="F125" s="34">
        <v>10</v>
      </c>
      <c r="G125" s="34">
        <v>62.748100000000001</v>
      </c>
      <c r="H125" s="34">
        <v>-0.92114799999999997</v>
      </c>
      <c r="I125" s="34">
        <v>26</v>
      </c>
      <c r="J125" s="34" t="s">
        <v>28</v>
      </c>
      <c r="K125" s="34">
        <v>62.748199999999997</v>
      </c>
      <c r="L125" s="34">
        <v>-0.92114799999999997</v>
      </c>
      <c r="M125" s="34">
        <v>20</v>
      </c>
      <c r="N125" s="34" t="s">
        <v>28</v>
      </c>
      <c r="O125">
        <f t="shared" si="1"/>
        <v>9.4921000000000006</v>
      </c>
    </row>
    <row r="126" spans="1:15" x14ac:dyDescent="0.25">
      <c r="A126" s="34">
        <v>1.5</v>
      </c>
      <c r="B126" s="1">
        <v>24</v>
      </c>
      <c r="C126" s="34">
        <v>-71</v>
      </c>
      <c r="D126" s="34">
        <v>-32.556600000000003</v>
      </c>
      <c r="E126" s="34">
        <v>15.4976</v>
      </c>
      <c r="F126" s="34">
        <v>13</v>
      </c>
      <c r="G126" s="35">
        <v>-7.4611599999999996E-5</v>
      </c>
      <c r="H126" s="35">
        <v>1.11331E-13</v>
      </c>
      <c r="I126" s="34">
        <v>29</v>
      </c>
      <c r="J126" s="34" t="s">
        <v>29</v>
      </c>
      <c r="K126" s="35">
        <v>2.2408099999999998E-9</v>
      </c>
      <c r="L126" s="35">
        <v>-7.1570699999999995E-18</v>
      </c>
      <c r="M126" s="34">
        <v>8</v>
      </c>
      <c r="N126" s="34" t="s">
        <v>29</v>
      </c>
      <c r="O126">
        <f t="shared" si="1"/>
        <v>48.054200000000002</v>
      </c>
    </row>
    <row r="127" spans="1:15" x14ac:dyDescent="0.25">
      <c r="A127" s="34">
        <v>1.5</v>
      </c>
      <c r="B127" s="1">
        <v>25</v>
      </c>
      <c r="C127" s="34">
        <v>0</v>
      </c>
      <c r="D127" s="34">
        <v>-1</v>
      </c>
      <c r="E127" s="34">
        <v>1</v>
      </c>
      <c r="F127" s="34">
        <v>3</v>
      </c>
      <c r="G127" s="35">
        <v>-1.0896200000000001E-17</v>
      </c>
      <c r="H127" s="35">
        <v>-7.15717E-18</v>
      </c>
      <c r="I127" s="34">
        <v>23</v>
      </c>
      <c r="J127" s="34" t="s">
        <v>29</v>
      </c>
      <c r="K127" s="35">
        <v>2.8460299999999998E-13</v>
      </c>
      <c r="L127" s="35">
        <v>-7.15717E-18</v>
      </c>
      <c r="M127" s="34">
        <v>7</v>
      </c>
      <c r="N127" s="34" t="s">
        <v>29</v>
      </c>
      <c r="O127">
        <f t="shared" si="1"/>
        <v>2</v>
      </c>
    </row>
    <row r="128" spans="1:15" x14ac:dyDescent="0.25">
      <c r="A128" s="34">
        <v>1.5</v>
      </c>
      <c r="B128" s="1">
        <v>26</v>
      </c>
      <c r="C128" s="34">
        <v>4</v>
      </c>
      <c r="D128" s="34">
        <v>-1.0625</v>
      </c>
      <c r="E128" s="34">
        <v>1.75</v>
      </c>
      <c r="F128" s="34">
        <v>7</v>
      </c>
      <c r="G128" s="35">
        <v>5.1252699999999998E-5</v>
      </c>
      <c r="H128" s="35">
        <v>5.2529700000000002E-14</v>
      </c>
      <c r="I128" s="34">
        <v>23</v>
      </c>
      <c r="J128" s="34" t="s">
        <v>29</v>
      </c>
      <c r="K128" s="35">
        <v>2.4192600000000002E-13</v>
      </c>
      <c r="L128" s="35">
        <v>-7.15717E-18</v>
      </c>
      <c r="M128" s="34">
        <v>8</v>
      </c>
      <c r="N128" s="34" t="s">
        <v>29</v>
      </c>
      <c r="O128">
        <f t="shared" si="1"/>
        <v>2.8125</v>
      </c>
    </row>
    <row r="129" spans="1:15" x14ac:dyDescent="0.25">
      <c r="A129" s="34">
        <v>1.5</v>
      </c>
      <c r="B129" s="1">
        <v>27</v>
      </c>
      <c r="C129" s="34">
        <v>-25</v>
      </c>
      <c r="D129" s="34">
        <v>-7.9140600000000001</v>
      </c>
      <c r="E129" s="34">
        <v>13.4434</v>
      </c>
      <c r="F129" s="34">
        <v>11</v>
      </c>
      <c r="G129" s="35">
        <v>3.99799E-5</v>
      </c>
      <c r="H129" s="35">
        <v>3.1960699999999997E-14</v>
      </c>
      <c r="I129" s="34">
        <v>28</v>
      </c>
      <c r="J129" s="34" t="s">
        <v>29</v>
      </c>
      <c r="K129" s="35">
        <v>1.33742E-12</v>
      </c>
      <c r="L129" s="35">
        <v>-7.15717E-18</v>
      </c>
      <c r="M129" s="34">
        <v>8</v>
      </c>
      <c r="N129" s="34" t="s">
        <v>29</v>
      </c>
      <c r="O129">
        <f t="shared" si="1"/>
        <v>21.35746</v>
      </c>
    </row>
    <row r="130" spans="1:15" x14ac:dyDescent="0.25">
      <c r="A130" s="34">
        <v>1.5</v>
      </c>
      <c r="B130" s="1">
        <v>28</v>
      </c>
      <c r="C130" s="34">
        <v>-63</v>
      </c>
      <c r="D130" s="34">
        <v>-24.5566</v>
      </c>
      <c r="E130" s="34">
        <v>23.497599999999998</v>
      </c>
      <c r="F130" s="34">
        <v>13</v>
      </c>
      <c r="G130" s="35">
        <v>-5.8833999999999999E-5</v>
      </c>
      <c r="H130" s="35">
        <v>6.9221599999999997E-14</v>
      </c>
      <c r="I130" s="34">
        <v>29</v>
      </c>
      <c r="J130" s="34" t="s">
        <v>29</v>
      </c>
      <c r="K130" s="35">
        <v>-4.6091500000000001E-10</v>
      </c>
      <c r="L130" s="35">
        <v>-7.1571600000000002E-18</v>
      </c>
      <c r="M130" s="34">
        <v>12</v>
      </c>
      <c r="N130" s="34" t="s">
        <v>29</v>
      </c>
      <c r="O130">
        <f t="shared" si="1"/>
        <v>48.054199999999994</v>
      </c>
    </row>
    <row r="131" spans="1:15" x14ac:dyDescent="0.25">
      <c r="A131" s="34">
        <v>1.5</v>
      </c>
      <c r="B131" s="1">
        <v>29</v>
      </c>
      <c r="C131" s="34">
        <v>70</v>
      </c>
      <c r="D131" s="34">
        <v>58.609400000000001</v>
      </c>
      <c r="E131" s="34">
        <v>64.9375</v>
      </c>
      <c r="F131" s="34">
        <v>9</v>
      </c>
      <c r="G131" s="34">
        <v>62.748199999999997</v>
      </c>
      <c r="H131" s="34">
        <v>-0.92114799999999997</v>
      </c>
      <c r="I131" s="34">
        <v>25</v>
      </c>
      <c r="J131" s="34" t="s">
        <v>28</v>
      </c>
      <c r="K131" s="34">
        <v>62.748199999999997</v>
      </c>
      <c r="L131" s="34">
        <v>-0.92114799999999997</v>
      </c>
      <c r="M131" s="34">
        <v>20</v>
      </c>
      <c r="N131" s="34" t="s">
        <v>28</v>
      </c>
      <c r="O131">
        <f t="shared" si="1"/>
        <v>6.3280999999999992</v>
      </c>
    </row>
    <row r="132" spans="1:15" x14ac:dyDescent="0.25">
      <c r="A132" s="34">
        <v>1.5</v>
      </c>
      <c r="B132" s="1">
        <v>30</v>
      </c>
      <c r="C132" s="34">
        <v>-44</v>
      </c>
      <c r="D132" s="34">
        <v>-18.371099999999998</v>
      </c>
      <c r="E132" s="34">
        <v>13.664999999999999</v>
      </c>
      <c r="F132" s="34">
        <v>12</v>
      </c>
      <c r="G132" s="35">
        <v>-4.3167100000000002E-5</v>
      </c>
      <c r="H132" s="35">
        <v>3.7260699999999997E-14</v>
      </c>
      <c r="I132" s="34">
        <v>29</v>
      </c>
      <c r="J132" s="34" t="s">
        <v>29</v>
      </c>
      <c r="K132" s="35">
        <v>1.73005E-9</v>
      </c>
      <c r="L132" s="35">
        <v>-7.15711E-18</v>
      </c>
      <c r="M132" s="34">
        <v>8</v>
      </c>
      <c r="N132" s="34" t="s">
        <v>29</v>
      </c>
      <c r="O132">
        <f t="shared" ref="O132:O195" si="2">E132-D132</f>
        <v>32.036099999999998</v>
      </c>
    </row>
    <row r="133" spans="1:15" x14ac:dyDescent="0.25">
      <c r="A133" s="34">
        <v>1.5</v>
      </c>
      <c r="B133" s="1">
        <v>31</v>
      </c>
      <c r="C133" s="34">
        <v>88</v>
      </c>
      <c r="D133" s="34">
        <v>49.556600000000003</v>
      </c>
      <c r="E133" s="34">
        <v>70.914100000000005</v>
      </c>
      <c r="F133" s="34">
        <v>12</v>
      </c>
      <c r="G133" s="34">
        <v>62.748199999999997</v>
      </c>
      <c r="H133" s="34">
        <v>-0.92114799999999997</v>
      </c>
      <c r="I133" s="34">
        <v>28</v>
      </c>
      <c r="J133" s="34" t="s">
        <v>28</v>
      </c>
      <c r="K133" s="34">
        <v>62.748199999999997</v>
      </c>
      <c r="L133" s="34">
        <v>-0.92114799999999997</v>
      </c>
      <c r="M133" s="34">
        <v>28</v>
      </c>
      <c r="N133" s="34" t="s">
        <v>28</v>
      </c>
      <c r="O133">
        <f t="shared" si="2"/>
        <v>21.357500000000002</v>
      </c>
    </row>
    <row r="134" spans="1:15" x14ac:dyDescent="0.25">
      <c r="A134" s="34">
        <v>1.5</v>
      </c>
      <c r="B134" s="1">
        <v>32</v>
      </c>
      <c r="C134" s="34">
        <v>-76</v>
      </c>
      <c r="D134" s="34">
        <v>10.4976</v>
      </c>
      <c r="E134" s="34">
        <v>118.62</v>
      </c>
      <c r="F134" s="34">
        <v>15</v>
      </c>
      <c r="G134" s="34">
        <v>62.748100000000001</v>
      </c>
      <c r="H134" s="34">
        <v>-0.92114799999999997</v>
      </c>
      <c r="I134" s="34">
        <v>31</v>
      </c>
      <c r="J134" s="34" t="s">
        <v>28</v>
      </c>
      <c r="K134" s="34">
        <v>60.839399999999998</v>
      </c>
      <c r="L134" s="34">
        <v>-0.86803799999999998</v>
      </c>
      <c r="M134" s="34">
        <v>7</v>
      </c>
      <c r="N134" s="34" t="s">
        <v>29</v>
      </c>
      <c r="O134">
        <f t="shared" si="2"/>
        <v>108.1224</v>
      </c>
    </row>
    <row r="135" spans="1:15" x14ac:dyDescent="0.25">
      <c r="A135" s="34">
        <v>1.5</v>
      </c>
      <c r="B135" s="1">
        <v>33</v>
      </c>
      <c r="C135" s="34">
        <v>43</v>
      </c>
      <c r="D135" s="34">
        <v>-14.664999999999999</v>
      </c>
      <c r="E135" s="34">
        <v>17.371099999999998</v>
      </c>
      <c r="F135" s="34">
        <v>13</v>
      </c>
      <c r="G135" s="35">
        <v>-5.2254199999999999E-5</v>
      </c>
      <c r="H135" s="35">
        <v>5.4602800000000003E-14</v>
      </c>
      <c r="I135" s="34">
        <v>29</v>
      </c>
      <c r="J135" s="34" t="s">
        <v>29</v>
      </c>
      <c r="K135" s="35">
        <v>5.2482200000000002E-13</v>
      </c>
      <c r="L135" s="35">
        <v>-7.15717E-18</v>
      </c>
      <c r="M135" s="34">
        <v>8</v>
      </c>
      <c r="N135" s="34" t="s">
        <v>29</v>
      </c>
      <c r="O135">
        <f t="shared" si="2"/>
        <v>32.036099999999998</v>
      </c>
    </row>
    <row r="136" spans="1:15" x14ac:dyDescent="0.25">
      <c r="A136" s="34">
        <v>1.5</v>
      </c>
      <c r="B136" s="1">
        <v>34</v>
      </c>
      <c r="C136" s="34">
        <v>23</v>
      </c>
      <c r="D136" s="34">
        <v>-15.4434</v>
      </c>
      <c r="E136" s="34">
        <v>5.9140600000000001</v>
      </c>
      <c r="F136" s="34">
        <v>12</v>
      </c>
      <c r="G136" s="35">
        <v>-5.18347E-5</v>
      </c>
      <c r="H136" s="35">
        <v>5.3729499999999997E-14</v>
      </c>
      <c r="I136" s="34">
        <v>28</v>
      </c>
      <c r="J136" s="34" t="s">
        <v>29</v>
      </c>
      <c r="K136" s="35">
        <v>1.3347900000000001E-11</v>
      </c>
      <c r="L136" s="35">
        <v>-7.15717E-18</v>
      </c>
      <c r="M136" s="34">
        <v>8</v>
      </c>
      <c r="N136" s="34" t="s">
        <v>29</v>
      </c>
      <c r="O136">
        <f t="shared" si="2"/>
        <v>21.35746</v>
      </c>
    </row>
    <row r="137" spans="1:15" x14ac:dyDescent="0.25">
      <c r="A137" s="34">
        <v>1.5</v>
      </c>
      <c r="B137" s="1">
        <v>35</v>
      </c>
      <c r="C137" s="34">
        <v>63</v>
      </c>
      <c r="D137" s="34">
        <v>62</v>
      </c>
      <c r="E137" s="34">
        <v>64</v>
      </c>
      <c r="F137" s="34">
        <v>3</v>
      </c>
      <c r="G137" s="34">
        <v>62.748100000000001</v>
      </c>
      <c r="H137" s="34">
        <v>-0.92114799999999997</v>
      </c>
      <c r="I137" s="34">
        <v>23</v>
      </c>
      <c r="J137" s="34" t="s">
        <v>28</v>
      </c>
      <c r="K137" s="34">
        <v>62.747599999999998</v>
      </c>
      <c r="L137" s="34">
        <v>-0.92114799999999997</v>
      </c>
      <c r="M137" s="34">
        <v>11</v>
      </c>
      <c r="N137" s="34" t="s">
        <v>28</v>
      </c>
      <c r="O137">
        <f t="shared" si="2"/>
        <v>2</v>
      </c>
    </row>
    <row r="138" spans="1:15" x14ac:dyDescent="0.25">
      <c r="A138" s="34">
        <v>1.5</v>
      </c>
      <c r="B138" s="1">
        <v>36</v>
      </c>
      <c r="C138" s="34">
        <v>66</v>
      </c>
      <c r="D138" s="34">
        <v>60.9375</v>
      </c>
      <c r="E138" s="34">
        <v>63.75</v>
      </c>
      <c r="F138" s="34">
        <v>7</v>
      </c>
      <c r="G138" s="34">
        <v>62.748100000000001</v>
      </c>
      <c r="H138" s="34">
        <v>-0.92114799999999997</v>
      </c>
      <c r="I138" s="34">
        <v>23</v>
      </c>
      <c r="J138" s="34" t="s">
        <v>28</v>
      </c>
      <c r="K138" s="34">
        <v>62.748199999999997</v>
      </c>
      <c r="L138" s="34">
        <v>-0.92114799999999997</v>
      </c>
      <c r="M138" s="34">
        <v>20</v>
      </c>
      <c r="N138" s="34" t="s">
        <v>28</v>
      </c>
      <c r="O138">
        <f t="shared" si="2"/>
        <v>2.8125</v>
      </c>
    </row>
    <row r="139" spans="1:15" x14ac:dyDescent="0.25">
      <c r="A139" s="34">
        <v>1.5</v>
      </c>
      <c r="B139" s="1">
        <v>37</v>
      </c>
      <c r="C139" s="34">
        <v>53</v>
      </c>
      <c r="D139" s="34">
        <v>60.593800000000002</v>
      </c>
      <c r="E139" s="34">
        <v>70.085899999999995</v>
      </c>
      <c r="F139" s="34">
        <v>9</v>
      </c>
      <c r="G139" s="34">
        <v>62.748199999999997</v>
      </c>
      <c r="H139" s="34">
        <v>-0.92114799999999997</v>
      </c>
      <c r="I139" s="34">
        <v>26</v>
      </c>
      <c r="J139" s="34" t="s">
        <v>28</v>
      </c>
      <c r="K139" s="34">
        <v>62.748199999999997</v>
      </c>
      <c r="L139" s="34">
        <v>-0.92114799999999997</v>
      </c>
      <c r="M139" s="34">
        <v>20</v>
      </c>
      <c r="N139" s="34" t="s">
        <v>28</v>
      </c>
      <c r="O139">
        <f t="shared" si="2"/>
        <v>9.4920999999999935</v>
      </c>
    </row>
    <row r="140" spans="1:15" x14ac:dyDescent="0.25">
      <c r="A140" s="34">
        <v>1.5</v>
      </c>
      <c r="B140" s="1">
        <v>38</v>
      </c>
      <c r="C140" s="34">
        <v>-3</v>
      </c>
      <c r="D140" s="34">
        <v>-0.75</v>
      </c>
      <c r="E140" s="34">
        <v>2.0625</v>
      </c>
      <c r="F140" s="34">
        <v>6</v>
      </c>
      <c r="G140" s="35">
        <v>-3.5985999999999997E-5</v>
      </c>
      <c r="H140" s="35">
        <v>2.58926E-14</v>
      </c>
      <c r="I140" s="34">
        <v>23</v>
      </c>
      <c r="J140" s="34" t="s">
        <v>29</v>
      </c>
      <c r="K140" s="35">
        <v>2.5253800000000001E-13</v>
      </c>
      <c r="L140" s="35">
        <v>-7.15717E-18</v>
      </c>
      <c r="M140" s="34">
        <v>8</v>
      </c>
      <c r="N140" s="34" t="s">
        <v>29</v>
      </c>
      <c r="O140">
        <f t="shared" si="2"/>
        <v>2.8125</v>
      </c>
    </row>
    <row r="141" spans="1:15" x14ac:dyDescent="0.25">
      <c r="A141" s="34">
        <v>1.5</v>
      </c>
      <c r="B141" s="1">
        <v>39</v>
      </c>
      <c r="C141" s="34">
        <v>-4</v>
      </c>
      <c r="D141" s="34">
        <v>-1.75</v>
      </c>
      <c r="E141" s="34">
        <v>1.0625</v>
      </c>
      <c r="F141" s="34">
        <v>6</v>
      </c>
      <c r="G141" s="35">
        <v>-5.1252699999999998E-5</v>
      </c>
      <c r="H141" s="35">
        <v>5.2529700000000002E-14</v>
      </c>
      <c r="I141" s="34">
        <v>23</v>
      </c>
      <c r="J141" s="34" t="s">
        <v>29</v>
      </c>
      <c r="K141" s="35">
        <v>2.5105900000000002E-13</v>
      </c>
      <c r="L141" s="35">
        <v>-7.15717E-18</v>
      </c>
      <c r="M141" s="34">
        <v>8</v>
      </c>
      <c r="N141" s="34" t="s">
        <v>29</v>
      </c>
      <c r="O141">
        <f t="shared" si="2"/>
        <v>2.8125</v>
      </c>
    </row>
    <row r="142" spans="1:15" x14ac:dyDescent="0.25">
      <c r="A142" s="34">
        <v>1.5</v>
      </c>
      <c r="B142" s="1">
        <v>40</v>
      </c>
      <c r="C142" s="34">
        <v>-67</v>
      </c>
      <c r="D142" s="34">
        <v>-28.5566</v>
      </c>
      <c r="E142" s="34">
        <v>19.497599999999998</v>
      </c>
      <c r="F142" s="34">
        <v>13</v>
      </c>
      <c r="G142" s="35">
        <v>-6.6722800000000004E-5</v>
      </c>
      <c r="H142" s="35">
        <v>8.9031400000000001E-14</v>
      </c>
      <c r="I142" s="34">
        <v>29</v>
      </c>
      <c r="J142" s="34" t="s">
        <v>29</v>
      </c>
      <c r="K142" s="35">
        <v>-6.2519199999999995E-7</v>
      </c>
      <c r="L142" s="35">
        <v>6.6013799999999999E-19</v>
      </c>
      <c r="M142" s="34">
        <v>8</v>
      </c>
      <c r="N142" s="34" t="s">
        <v>29</v>
      </c>
      <c r="O142">
        <f t="shared" si="2"/>
        <v>48.054199999999994</v>
      </c>
    </row>
    <row r="143" spans="1:15" x14ac:dyDescent="0.25">
      <c r="A143" s="34">
        <v>1.5</v>
      </c>
      <c r="B143" s="1">
        <v>41</v>
      </c>
      <c r="C143" s="34">
        <v>65</v>
      </c>
      <c r="D143" s="34">
        <v>61.625</v>
      </c>
      <c r="E143" s="34">
        <v>63.5</v>
      </c>
      <c r="F143" s="34">
        <v>6</v>
      </c>
      <c r="G143" s="34">
        <v>62.748100000000001</v>
      </c>
      <c r="H143" s="34">
        <v>-0.92114799999999997</v>
      </c>
      <c r="I143" s="34">
        <v>23</v>
      </c>
      <c r="J143" s="34" t="s">
        <v>28</v>
      </c>
      <c r="K143" s="34">
        <v>62.748199999999997</v>
      </c>
      <c r="L143" s="34">
        <v>-0.92114799999999997</v>
      </c>
      <c r="M143" s="34">
        <v>16</v>
      </c>
      <c r="N143" s="34" t="s">
        <v>28</v>
      </c>
      <c r="O143">
        <f t="shared" si="2"/>
        <v>1.875</v>
      </c>
    </row>
    <row r="144" spans="1:15" x14ac:dyDescent="0.25">
      <c r="A144" s="34">
        <v>1.5</v>
      </c>
      <c r="B144" s="1">
        <v>42</v>
      </c>
      <c r="C144" s="34">
        <v>30</v>
      </c>
      <c r="D144" s="34">
        <v>-8.4433600000000002</v>
      </c>
      <c r="E144" s="34">
        <v>12.914099999999999</v>
      </c>
      <c r="F144" s="34">
        <v>12</v>
      </c>
      <c r="G144" s="35">
        <v>-4.3943799999999998E-5</v>
      </c>
      <c r="H144" s="35">
        <v>3.8613999999999998E-14</v>
      </c>
      <c r="I144" s="34">
        <v>28</v>
      </c>
      <c r="J144" s="34" t="s">
        <v>29</v>
      </c>
      <c r="K144" s="35">
        <v>9.1517299999999994E-13</v>
      </c>
      <c r="L144" s="35">
        <v>-7.15717E-18</v>
      </c>
      <c r="M144" s="34">
        <v>8</v>
      </c>
      <c r="N144" s="34" t="s">
        <v>29</v>
      </c>
      <c r="O144">
        <f t="shared" si="2"/>
        <v>21.35746</v>
      </c>
    </row>
    <row r="145" spans="1:15" x14ac:dyDescent="0.25">
      <c r="A145" s="34">
        <v>1.5</v>
      </c>
      <c r="B145" s="1">
        <v>43</v>
      </c>
      <c r="C145" s="34">
        <v>59</v>
      </c>
      <c r="D145" s="34">
        <v>61.25</v>
      </c>
      <c r="E145" s="34">
        <v>64.0625</v>
      </c>
      <c r="F145" s="34">
        <v>6</v>
      </c>
      <c r="G145" s="34">
        <v>62.748100000000001</v>
      </c>
      <c r="H145" s="34">
        <v>-0.92114799999999997</v>
      </c>
      <c r="I145" s="34">
        <v>23</v>
      </c>
      <c r="J145" s="34" t="s">
        <v>28</v>
      </c>
      <c r="K145" s="34">
        <v>62.748199999999997</v>
      </c>
      <c r="L145" s="34">
        <v>-0.92114799999999997</v>
      </c>
      <c r="M145" s="34">
        <v>20</v>
      </c>
      <c r="N145" s="34" t="s">
        <v>28</v>
      </c>
      <c r="O145">
        <f t="shared" si="2"/>
        <v>2.8125</v>
      </c>
    </row>
    <row r="146" spans="1:15" x14ac:dyDescent="0.25">
      <c r="A146" s="34">
        <v>1.5</v>
      </c>
      <c r="B146" s="1">
        <v>44</v>
      </c>
      <c r="C146" s="34">
        <v>-84</v>
      </c>
      <c r="D146" s="34">
        <v>-26.335000000000001</v>
      </c>
      <c r="E146" s="34">
        <v>45.746299999999998</v>
      </c>
      <c r="F146" s="34">
        <v>14</v>
      </c>
      <c r="G146" s="35">
        <v>-8.5613100000000002E-5</v>
      </c>
      <c r="H146" s="35">
        <v>1.46585E-13</v>
      </c>
      <c r="I146" s="34">
        <v>30</v>
      </c>
      <c r="J146" s="34" t="s">
        <v>29</v>
      </c>
      <c r="K146" s="35">
        <v>7.7814800000000006E-11</v>
      </c>
      <c r="L146" s="35">
        <v>-7.15717E-18</v>
      </c>
      <c r="M146" s="34">
        <v>12</v>
      </c>
      <c r="N146" s="34" t="s">
        <v>29</v>
      </c>
      <c r="O146">
        <f t="shared" si="2"/>
        <v>72.081299999999999</v>
      </c>
    </row>
    <row r="147" spans="1:15" x14ac:dyDescent="0.25">
      <c r="A147" s="34">
        <v>1.5</v>
      </c>
      <c r="B147" s="1">
        <v>45</v>
      </c>
      <c r="C147" s="34">
        <v>54</v>
      </c>
      <c r="D147" s="34">
        <v>59.0625</v>
      </c>
      <c r="E147" s="34">
        <v>65.390600000000006</v>
      </c>
      <c r="F147" s="34">
        <v>8</v>
      </c>
      <c r="G147" s="34">
        <v>62.748199999999997</v>
      </c>
      <c r="H147" s="34">
        <v>-0.92114799999999997</v>
      </c>
      <c r="I147" s="34">
        <v>25</v>
      </c>
      <c r="J147" s="34" t="s">
        <v>28</v>
      </c>
      <c r="K147" s="34">
        <v>62.748199999999997</v>
      </c>
      <c r="L147" s="34">
        <v>-0.92114799999999997</v>
      </c>
      <c r="M147" s="34">
        <v>20</v>
      </c>
      <c r="N147" s="34" t="s">
        <v>28</v>
      </c>
      <c r="O147">
        <f t="shared" si="2"/>
        <v>6.3281000000000063</v>
      </c>
    </row>
    <row r="148" spans="1:15" x14ac:dyDescent="0.25">
      <c r="A148" s="34">
        <v>1.5</v>
      </c>
      <c r="B148" s="1">
        <v>46</v>
      </c>
      <c r="C148" s="34">
        <v>-11</v>
      </c>
      <c r="D148" s="34">
        <v>-3.40625</v>
      </c>
      <c r="E148" s="34">
        <v>6.0859399999999999</v>
      </c>
      <c r="F148" s="34">
        <v>9</v>
      </c>
      <c r="G148" s="35">
        <v>7.0117000000000006E-5</v>
      </c>
      <c r="H148" s="35">
        <v>9.8320799999999999E-14</v>
      </c>
      <c r="I148" s="34">
        <v>26</v>
      </c>
      <c r="J148" s="34" t="s">
        <v>29</v>
      </c>
      <c r="K148" s="35">
        <v>4.2121499999999999E-13</v>
      </c>
      <c r="L148" s="35">
        <v>-7.15717E-18</v>
      </c>
      <c r="M148" s="34">
        <v>8</v>
      </c>
      <c r="N148" s="34" t="s">
        <v>29</v>
      </c>
      <c r="O148">
        <f t="shared" si="2"/>
        <v>9.4921900000000008</v>
      </c>
    </row>
    <row r="149" spans="1:15" x14ac:dyDescent="0.25">
      <c r="A149" s="34">
        <v>1.5</v>
      </c>
      <c r="B149" s="1">
        <v>47</v>
      </c>
      <c r="C149" s="34">
        <v>-58</v>
      </c>
      <c r="D149" s="34">
        <v>-19.5566</v>
      </c>
      <c r="E149" s="34">
        <v>28.497599999999998</v>
      </c>
      <c r="F149" s="34">
        <v>13</v>
      </c>
      <c r="G149" s="35">
        <v>4.4475999999999999E-5</v>
      </c>
      <c r="H149" s="35">
        <v>3.9555100000000003E-14</v>
      </c>
      <c r="I149" s="34">
        <v>29</v>
      </c>
      <c r="J149" s="34" t="s">
        <v>29</v>
      </c>
      <c r="K149" s="35">
        <v>2.2869799999999998E-13</v>
      </c>
      <c r="L149" s="35">
        <v>-7.15717E-18</v>
      </c>
      <c r="M149" s="34">
        <v>12</v>
      </c>
      <c r="N149" s="34" t="s">
        <v>29</v>
      </c>
      <c r="O149">
        <f t="shared" si="2"/>
        <v>48.054199999999994</v>
      </c>
    </row>
    <row r="150" spans="1:15" x14ac:dyDescent="0.25">
      <c r="A150" s="34">
        <v>1.5</v>
      </c>
      <c r="B150" s="1">
        <v>48</v>
      </c>
      <c r="C150" s="34">
        <v>-24</v>
      </c>
      <c r="D150" s="34">
        <v>-6.9140600000000001</v>
      </c>
      <c r="E150" s="34">
        <v>14.4434</v>
      </c>
      <c r="F150" s="34">
        <v>11</v>
      </c>
      <c r="G150" s="35">
        <v>-5.4895200000000003E-5</v>
      </c>
      <c r="H150" s="35">
        <v>6.0262399999999997E-14</v>
      </c>
      <c r="I150" s="34">
        <v>28</v>
      </c>
      <c r="J150" s="34" t="s">
        <v>29</v>
      </c>
      <c r="K150" s="35">
        <v>2.7944200000000001E-12</v>
      </c>
      <c r="L150" s="35">
        <v>-7.15717E-18</v>
      </c>
      <c r="M150" s="34">
        <v>8</v>
      </c>
      <c r="N150" s="34" t="s">
        <v>29</v>
      </c>
      <c r="O150">
        <f t="shared" si="2"/>
        <v>21.35746</v>
      </c>
    </row>
    <row r="151" spans="1:15" x14ac:dyDescent="0.25">
      <c r="A151" s="34">
        <v>1.5</v>
      </c>
      <c r="B151" s="1">
        <v>49</v>
      </c>
      <c r="C151" s="34">
        <v>57</v>
      </c>
      <c r="D151" s="34">
        <v>60.375</v>
      </c>
      <c r="E151" s="34">
        <v>64.593800000000002</v>
      </c>
      <c r="F151" s="34">
        <v>7</v>
      </c>
      <c r="G151" s="34">
        <v>62.748100000000001</v>
      </c>
      <c r="H151" s="34">
        <v>-0.92114799999999997</v>
      </c>
      <c r="I151" s="34">
        <v>24</v>
      </c>
      <c r="J151" s="34" t="s">
        <v>28</v>
      </c>
      <c r="K151" s="34">
        <v>62.748199999999997</v>
      </c>
      <c r="L151" s="34">
        <v>-0.92114799999999997</v>
      </c>
      <c r="M151" s="34">
        <v>20</v>
      </c>
      <c r="N151" s="34" t="s">
        <v>28</v>
      </c>
      <c r="O151">
        <f t="shared" si="2"/>
        <v>4.2188000000000017</v>
      </c>
    </row>
    <row r="152" spans="1:15" x14ac:dyDescent="0.25">
      <c r="A152" s="34">
        <v>1.5</v>
      </c>
      <c r="B152" s="1">
        <v>50</v>
      </c>
      <c r="C152" s="34">
        <v>6</v>
      </c>
      <c r="D152" s="34">
        <v>-1.59375</v>
      </c>
      <c r="E152" s="34">
        <v>2.625</v>
      </c>
      <c r="F152" s="34">
        <v>8</v>
      </c>
      <c r="G152" s="35">
        <v>6.3688899999999999E-5</v>
      </c>
      <c r="H152" s="35">
        <v>8.1118300000000002E-14</v>
      </c>
      <c r="I152" s="34">
        <v>24</v>
      </c>
      <c r="J152" s="34" t="s">
        <v>29</v>
      </c>
      <c r="K152" s="35">
        <v>2.6089500000000002E-13</v>
      </c>
      <c r="L152" s="35">
        <v>-7.15717E-18</v>
      </c>
      <c r="M152" s="34">
        <v>8</v>
      </c>
      <c r="N152" s="34" t="s">
        <v>29</v>
      </c>
      <c r="O152">
        <f t="shared" si="2"/>
        <v>4.21875</v>
      </c>
    </row>
    <row r="153" spans="1:15" x14ac:dyDescent="0.25">
      <c r="A153" s="34">
        <v>1.5</v>
      </c>
      <c r="B153" s="1">
        <v>51</v>
      </c>
      <c r="C153" s="34">
        <v>-89</v>
      </c>
      <c r="D153" s="34">
        <v>-31.335000000000001</v>
      </c>
      <c r="E153" s="34">
        <v>40.746299999999998</v>
      </c>
      <c r="F153" s="34">
        <v>14</v>
      </c>
      <c r="G153" s="35">
        <v>5.4193200000000001E-5</v>
      </c>
      <c r="H153" s="35">
        <v>5.8731000000000002E-14</v>
      </c>
      <c r="I153" s="34">
        <v>30</v>
      </c>
      <c r="J153" s="34" t="s">
        <v>29</v>
      </c>
      <c r="K153" s="35">
        <v>1.9537400000000001E-12</v>
      </c>
      <c r="L153" s="35">
        <v>-7.15717E-18</v>
      </c>
      <c r="M153" s="34">
        <v>12</v>
      </c>
      <c r="N153" s="34" t="s">
        <v>29</v>
      </c>
      <c r="O153">
        <f t="shared" si="2"/>
        <v>72.081299999999999</v>
      </c>
    </row>
    <row r="154" spans="1:15" x14ac:dyDescent="0.25">
      <c r="A154" s="34">
        <v>1.5</v>
      </c>
      <c r="B154" s="1">
        <v>52</v>
      </c>
      <c r="C154" s="34">
        <v>-50</v>
      </c>
      <c r="D154" s="34">
        <v>-11.5566</v>
      </c>
      <c r="E154" s="34">
        <v>36.497599999999998</v>
      </c>
      <c r="F154" s="34">
        <v>13</v>
      </c>
      <c r="G154" s="35">
        <v>6.0253600000000002E-5</v>
      </c>
      <c r="H154" s="35">
        <v>7.2602699999999995E-14</v>
      </c>
      <c r="I154" s="34">
        <v>29</v>
      </c>
      <c r="J154" s="34" t="s">
        <v>29</v>
      </c>
      <c r="K154" s="35">
        <v>2.2681899999999999E-13</v>
      </c>
      <c r="L154" s="35">
        <v>-7.15717E-18</v>
      </c>
      <c r="M154" s="34">
        <v>12</v>
      </c>
      <c r="N154" s="34" t="s">
        <v>29</v>
      </c>
      <c r="O154">
        <f t="shared" si="2"/>
        <v>48.054199999999994</v>
      </c>
    </row>
    <row r="155" spans="1:15" x14ac:dyDescent="0.25">
      <c r="A155" s="34">
        <v>1.5</v>
      </c>
      <c r="B155" s="1">
        <v>53</v>
      </c>
      <c r="C155" s="34">
        <v>66</v>
      </c>
      <c r="D155" s="34">
        <v>60.9375</v>
      </c>
      <c r="E155" s="34">
        <v>63.75</v>
      </c>
      <c r="F155" s="34">
        <v>7</v>
      </c>
      <c r="G155" s="34">
        <v>62.748100000000001</v>
      </c>
      <c r="H155" s="34">
        <v>-0.92114799999999997</v>
      </c>
      <c r="I155" s="34">
        <v>23</v>
      </c>
      <c r="J155" s="34" t="s">
        <v>28</v>
      </c>
      <c r="K155" s="34">
        <v>62.748199999999997</v>
      </c>
      <c r="L155" s="34">
        <v>-0.92114799999999997</v>
      </c>
      <c r="M155" s="34">
        <v>20</v>
      </c>
      <c r="N155" s="34" t="s">
        <v>28</v>
      </c>
      <c r="O155">
        <f t="shared" si="2"/>
        <v>2.8125</v>
      </c>
    </row>
    <row r="156" spans="1:15" x14ac:dyDescent="0.25">
      <c r="A156" s="34">
        <v>1.5</v>
      </c>
      <c r="B156" s="1">
        <v>54</v>
      </c>
      <c r="C156" s="34">
        <v>87</v>
      </c>
      <c r="D156" s="34">
        <v>48.556600000000003</v>
      </c>
      <c r="E156" s="34">
        <v>69.914100000000005</v>
      </c>
      <c r="F156" s="34">
        <v>12</v>
      </c>
      <c r="G156" s="34">
        <v>62.748100000000001</v>
      </c>
      <c r="H156" s="34">
        <v>-0.92114799999999997</v>
      </c>
      <c r="I156" s="34">
        <v>28</v>
      </c>
      <c r="J156" s="34" t="s">
        <v>28</v>
      </c>
      <c r="K156" s="34">
        <v>62.748199999999997</v>
      </c>
      <c r="L156" s="34">
        <v>-0.92114799999999997</v>
      </c>
      <c r="M156" s="34">
        <v>28</v>
      </c>
      <c r="N156" s="34" t="s">
        <v>28</v>
      </c>
      <c r="O156">
        <f t="shared" si="2"/>
        <v>21.357500000000002</v>
      </c>
    </row>
    <row r="157" spans="1:15" x14ac:dyDescent="0.25">
      <c r="A157" s="34">
        <v>1.5</v>
      </c>
      <c r="B157" s="1">
        <v>55</v>
      </c>
      <c r="C157" s="34">
        <v>-69</v>
      </c>
      <c r="D157" s="34">
        <v>-30.5566</v>
      </c>
      <c r="E157" s="34">
        <v>17.497599999999998</v>
      </c>
      <c r="F157" s="34">
        <v>13</v>
      </c>
      <c r="G157" s="35">
        <v>-7.0667200000000007E-5</v>
      </c>
      <c r="H157" s="35">
        <v>9.9869800000000006E-14</v>
      </c>
      <c r="I157" s="34">
        <v>29</v>
      </c>
      <c r="J157" s="34" t="s">
        <v>29</v>
      </c>
      <c r="K157" s="35">
        <v>-8.2028600000000004E-8</v>
      </c>
      <c r="L157" s="35">
        <v>-7.0225900000000002E-18</v>
      </c>
      <c r="M157" s="34">
        <v>8</v>
      </c>
      <c r="N157" s="34" t="s">
        <v>29</v>
      </c>
      <c r="O157">
        <f t="shared" si="2"/>
        <v>48.054199999999994</v>
      </c>
    </row>
    <row r="158" spans="1:15" x14ac:dyDescent="0.25">
      <c r="A158" s="34">
        <v>1.5</v>
      </c>
      <c r="B158" s="1">
        <v>56</v>
      </c>
      <c r="C158" s="34">
        <v>-34</v>
      </c>
      <c r="D158" s="34">
        <v>-8.3710900000000006</v>
      </c>
      <c r="E158" s="34">
        <v>23.664999999999999</v>
      </c>
      <c r="F158" s="34">
        <v>12</v>
      </c>
      <c r="G158" s="35">
        <v>3.8854199999999998E-5</v>
      </c>
      <c r="H158" s="35">
        <v>3.0185900000000002E-14</v>
      </c>
      <c r="I158" s="34">
        <v>29</v>
      </c>
      <c r="J158" s="34" t="s">
        <v>29</v>
      </c>
      <c r="K158" s="35">
        <v>7.3286200000000003E-11</v>
      </c>
      <c r="L158" s="35">
        <v>-7.15717E-18</v>
      </c>
      <c r="M158" s="34">
        <v>8</v>
      </c>
      <c r="N158" s="34" t="s">
        <v>29</v>
      </c>
      <c r="O158">
        <f t="shared" si="2"/>
        <v>32.036090000000002</v>
      </c>
    </row>
    <row r="159" spans="1:15" x14ac:dyDescent="0.25">
      <c r="A159" s="34">
        <v>1.5</v>
      </c>
      <c r="B159" s="1">
        <v>57</v>
      </c>
      <c r="C159" s="34">
        <v>-56</v>
      </c>
      <c r="D159" s="34">
        <v>-17.5566</v>
      </c>
      <c r="E159" s="34">
        <v>30.497599999999998</v>
      </c>
      <c r="F159" s="34">
        <v>13</v>
      </c>
      <c r="G159" s="35">
        <v>4.8420400000000001E-5</v>
      </c>
      <c r="H159" s="35">
        <v>4.6883499999999999E-14</v>
      </c>
      <c r="I159" s="34">
        <v>29</v>
      </c>
      <c r="J159" s="34" t="s">
        <v>29</v>
      </c>
      <c r="K159" s="35">
        <v>2.7599799999999999E-13</v>
      </c>
      <c r="L159" s="35">
        <v>-7.15717E-18</v>
      </c>
      <c r="M159" s="34">
        <v>12</v>
      </c>
      <c r="N159" s="34" t="s">
        <v>29</v>
      </c>
      <c r="O159">
        <f t="shared" si="2"/>
        <v>48.054199999999994</v>
      </c>
    </row>
    <row r="160" spans="1:15" x14ac:dyDescent="0.25">
      <c r="A160" s="34">
        <v>1.5</v>
      </c>
      <c r="B160" s="1">
        <v>58</v>
      </c>
      <c r="C160" s="34">
        <v>7</v>
      </c>
      <c r="D160" s="34">
        <v>-4.3906200000000002</v>
      </c>
      <c r="E160" s="34">
        <v>1.9375</v>
      </c>
      <c r="F160" s="34">
        <v>9</v>
      </c>
      <c r="G160" s="35">
        <v>9.89254E-6</v>
      </c>
      <c r="H160" s="35">
        <v>1.9500900000000001E-15</v>
      </c>
      <c r="I160" s="34">
        <v>25</v>
      </c>
      <c r="J160" s="34" t="s">
        <v>29</v>
      </c>
      <c r="K160" s="35">
        <v>4.20948E-13</v>
      </c>
      <c r="L160" s="35">
        <v>-7.15717E-18</v>
      </c>
      <c r="M160" s="34">
        <v>8</v>
      </c>
      <c r="N160" s="34" t="s">
        <v>29</v>
      </c>
      <c r="O160">
        <f t="shared" si="2"/>
        <v>6.3281200000000002</v>
      </c>
    </row>
    <row r="161" spans="1:15" x14ac:dyDescent="0.25">
      <c r="A161" s="34">
        <v>1.5</v>
      </c>
      <c r="B161" s="1">
        <v>59</v>
      </c>
      <c r="C161" s="34">
        <v>-45</v>
      </c>
      <c r="D161" s="34">
        <v>-19.371099999999998</v>
      </c>
      <c r="E161" s="34">
        <v>12.664999999999999</v>
      </c>
      <c r="F161" s="34">
        <v>12</v>
      </c>
      <c r="G161" s="35">
        <v>4.8309800000000003E-5</v>
      </c>
      <c r="H161" s="35">
        <v>4.66695E-14</v>
      </c>
      <c r="I161" s="34">
        <v>29</v>
      </c>
      <c r="J161" s="34" t="s">
        <v>29</v>
      </c>
      <c r="K161" s="35">
        <v>1.45483E-9</v>
      </c>
      <c r="L161" s="35">
        <v>-7.1571199999999997E-18</v>
      </c>
      <c r="M161" s="34">
        <v>8</v>
      </c>
      <c r="N161" s="34" t="s">
        <v>29</v>
      </c>
      <c r="O161">
        <f t="shared" si="2"/>
        <v>32.036099999999998</v>
      </c>
    </row>
    <row r="162" spans="1:15" x14ac:dyDescent="0.25">
      <c r="A162" s="34">
        <v>1.5</v>
      </c>
      <c r="B162" s="1">
        <v>60</v>
      </c>
      <c r="C162" s="34">
        <v>-86</v>
      </c>
      <c r="D162" s="34">
        <v>-28.335000000000001</v>
      </c>
      <c r="E162" s="34">
        <v>43.746299999999998</v>
      </c>
      <c r="F162" s="34">
        <v>14</v>
      </c>
      <c r="G162" s="35">
        <v>7.4267899999999994E-5</v>
      </c>
      <c r="H162" s="35">
        <v>1.10307E-13</v>
      </c>
      <c r="I162" s="34">
        <v>30</v>
      </c>
      <c r="J162" s="34" t="s">
        <v>29</v>
      </c>
      <c r="K162" s="35">
        <v>2.3817499999999999E-11</v>
      </c>
      <c r="L162" s="35">
        <v>-7.15717E-18</v>
      </c>
      <c r="M162" s="34">
        <v>12</v>
      </c>
      <c r="N162" s="34" t="s">
        <v>29</v>
      </c>
      <c r="O162">
        <f t="shared" si="2"/>
        <v>72.081299999999999</v>
      </c>
    </row>
    <row r="163" spans="1:15" x14ac:dyDescent="0.25">
      <c r="A163" s="34">
        <v>1.5</v>
      </c>
      <c r="B163" s="1">
        <v>61</v>
      </c>
      <c r="C163" s="34">
        <v>15</v>
      </c>
      <c r="D163" s="34">
        <v>-10.6289</v>
      </c>
      <c r="E163" s="34">
        <v>3.6093799999999998</v>
      </c>
      <c r="F163" s="34">
        <v>11</v>
      </c>
      <c r="G163" s="35">
        <v>-6.8223800000000002E-5</v>
      </c>
      <c r="H163" s="35">
        <v>9.3082699999999999E-14</v>
      </c>
      <c r="I163" s="34">
        <v>27</v>
      </c>
      <c r="J163" s="34" t="s">
        <v>29</v>
      </c>
      <c r="K163" s="35">
        <v>1.8738100000000001E-12</v>
      </c>
      <c r="L163" s="35">
        <v>-7.15717E-18</v>
      </c>
      <c r="M163" s="34">
        <v>8</v>
      </c>
      <c r="N163" s="34" t="s">
        <v>29</v>
      </c>
      <c r="O163">
        <f t="shared" si="2"/>
        <v>14.23828</v>
      </c>
    </row>
    <row r="164" spans="1:15" x14ac:dyDescent="0.25">
      <c r="A164" s="34">
        <v>1.5</v>
      </c>
      <c r="B164" s="1">
        <v>62</v>
      </c>
      <c r="C164" s="34">
        <v>-57</v>
      </c>
      <c r="D164" s="34">
        <v>-18.5566</v>
      </c>
      <c r="E164" s="34">
        <v>29.497599999999998</v>
      </c>
      <c r="F164" s="34">
        <v>13</v>
      </c>
      <c r="G164" s="35">
        <v>-4.7000799999999999E-5</v>
      </c>
      <c r="H164" s="35">
        <v>4.4174399999999999E-14</v>
      </c>
      <c r="I164" s="34">
        <v>29</v>
      </c>
      <c r="J164" s="34" t="s">
        <v>29</v>
      </c>
      <c r="K164" s="35">
        <v>2.3926899999999998E-13</v>
      </c>
      <c r="L164" s="35">
        <v>-7.15717E-18</v>
      </c>
      <c r="M164" s="34">
        <v>12</v>
      </c>
      <c r="N164" s="34" t="s">
        <v>29</v>
      </c>
      <c r="O164">
        <f t="shared" si="2"/>
        <v>48.054199999999994</v>
      </c>
    </row>
    <row r="165" spans="1:15" x14ac:dyDescent="0.25">
      <c r="A165" s="34">
        <v>1.5</v>
      </c>
      <c r="B165" s="1">
        <v>63</v>
      </c>
      <c r="C165" s="34">
        <v>90</v>
      </c>
      <c r="D165" s="34">
        <v>51.556600000000003</v>
      </c>
      <c r="E165" s="34">
        <v>72.914100000000005</v>
      </c>
      <c r="F165" s="34">
        <v>12</v>
      </c>
      <c r="G165" s="34">
        <v>62.748199999999997</v>
      </c>
      <c r="H165" s="34">
        <v>-0.92114799999999997</v>
      </c>
      <c r="I165" s="34">
        <v>28</v>
      </c>
      <c r="J165" s="34" t="s">
        <v>28</v>
      </c>
      <c r="K165" s="34">
        <v>62.748199999999997</v>
      </c>
      <c r="L165" s="34">
        <v>-0.92114799999999997</v>
      </c>
      <c r="M165" s="34">
        <v>28</v>
      </c>
      <c r="N165" s="34" t="s">
        <v>28</v>
      </c>
      <c r="O165">
        <f t="shared" si="2"/>
        <v>21.357500000000002</v>
      </c>
    </row>
    <row r="166" spans="1:15" x14ac:dyDescent="0.25">
      <c r="A166" s="34">
        <v>1.5</v>
      </c>
      <c r="B166" s="1">
        <v>64</v>
      </c>
      <c r="C166" s="34">
        <v>-41</v>
      </c>
      <c r="D166" s="34">
        <v>-15.3711</v>
      </c>
      <c r="E166" s="34">
        <v>16.664999999999999</v>
      </c>
      <c r="F166" s="34">
        <v>12</v>
      </c>
      <c r="G166" s="35">
        <v>5.6198600000000001E-5</v>
      </c>
      <c r="H166" s="35">
        <v>6.3158400000000003E-14</v>
      </c>
      <c r="I166" s="34">
        <v>29</v>
      </c>
      <c r="J166" s="34" t="s">
        <v>29</v>
      </c>
      <c r="K166" s="35">
        <v>3.2968599999999999E-13</v>
      </c>
      <c r="L166" s="35">
        <v>-7.15717E-18</v>
      </c>
      <c r="M166" s="34">
        <v>8</v>
      </c>
      <c r="N166" s="34" t="s">
        <v>29</v>
      </c>
      <c r="O166">
        <f t="shared" si="2"/>
        <v>32.036099999999998</v>
      </c>
    </row>
    <row r="167" spans="1:15" x14ac:dyDescent="0.25">
      <c r="A167" s="34">
        <v>1.5</v>
      </c>
      <c r="B167" s="1">
        <v>65</v>
      </c>
      <c r="C167" s="34">
        <v>18</v>
      </c>
      <c r="D167" s="34">
        <v>-7.6289100000000003</v>
      </c>
      <c r="E167" s="34">
        <v>6.6093799999999998</v>
      </c>
      <c r="F167" s="34">
        <v>11</v>
      </c>
      <c r="G167" s="35">
        <v>-5.43225E-5</v>
      </c>
      <c r="H167" s="35">
        <v>5.9011599999999995E-14</v>
      </c>
      <c r="I167" s="34">
        <v>27</v>
      </c>
      <c r="J167" s="34" t="s">
        <v>29</v>
      </c>
      <c r="K167" s="35">
        <v>4.15343E-12</v>
      </c>
      <c r="L167" s="35">
        <v>-7.15717E-18</v>
      </c>
      <c r="M167" s="34">
        <v>8</v>
      </c>
      <c r="N167" s="34" t="s">
        <v>29</v>
      </c>
      <c r="O167">
        <f t="shared" si="2"/>
        <v>14.238289999999999</v>
      </c>
    </row>
    <row r="168" spans="1:15" x14ac:dyDescent="0.25">
      <c r="A168" s="34">
        <v>1.5</v>
      </c>
      <c r="B168" s="1">
        <v>66</v>
      </c>
      <c r="C168" s="34">
        <v>53</v>
      </c>
      <c r="D168" s="34">
        <v>60.593800000000002</v>
      </c>
      <c r="E168" s="34">
        <v>70.085899999999995</v>
      </c>
      <c r="F168" s="34">
        <v>9</v>
      </c>
      <c r="G168" s="34">
        <v>62.748199999999997</v>
      </c>
      <c r="H168" s="34">
        <v>-0.92114799999999997</v>
      </c>
      <c r="I168" s="34">
        <v>26</v>
      </c>
      <c r="J168" s="34" t="s">
        <v>28</v>
      </c>
      <c r="K168" s="34">
        <v>62.748199999999997</v>
      </c>
      <c r="L168" s="34">
        <v>-0.92114799999999997</v>
      </c>
      <c r="M168" s="34">
        <v>20</v>
      </c>
      <c r="N168" s="34" t="s">
        <v>28</v>
      </c>
      <c r="O168">
        <f t="shared" si="2"/>
        <v>9.4920999999999935</v>
      </c>
    </row>
    <row r="169" spans="1:15" x14ac:dyDescent="0.25">
      <c r="A169" s="34">
        <v>1.5</v>
      </c>
      <c r="B169" s="1">
        <v>67</v>
      </c>
      <c r="C169" s="34">
        <v>77</v>
      </c>
      <c r="D169" s="34">
        <v>51.371099999999998</v>
      </c>
      <c r="E169" s="34">
        <v>65.609399999999994</v>
      </c>
      <c r="F169" s="34">
        <v>11</v>
      </c>
      <c r="G169" s="34">
        <v>62.748199999999997</v>
      </c>
      <c r="H169" s="34">
        <v>-0.92114799999999997</v>
      </c>
      <c r="I169" s="34">
        <v>27</v>
      </c>
      <c r="J169" s="34" t="s">
        <v>28</v>
      </c>
      <c r="K169" s="34">
        <v>62.748199999999997</v>
      </c>
      <c r="L169" s="34">
        <v>-0.92114799999999997</v>
      </c>
      <c r="M169" s="34">
        <v>28</v>
      </c>
      <c r="N169" s="34" t="s">
        <v>28</v>
      </c>
      <c r="O169">
        <f t="shared" si="2"/>
        <v>14.238299999999995</v>
      </c>
    </row>
    <row r="170" spans="1:15" x14ac:dyDescent="0.25">
      <c r="A170" s="34">
        <v>1.5</v>
      </c>
      <c r="B170" s="1">
        <v>68</v>
      </c>
      <c r="C170" s="34">
        <v>-28</v>
      </c>
      <c r="D170" s="34">
        <v>-10.914099999999999</v>
      </c>
      <c r="E170" s="34">
        <v>10.4434</v>
      </c>
      <c r="F170" s="34">
        <v>11</v>
      </c>
      <c r="G170" s="35">
        <v>5.5798599999999998E-5</v>
      </c>
      <c r="H170" s="35">
        <v>6.2262400000000001E-14</v>
      </c>
      <c r="I170" s="34">
        <v>28</v>
      </c>
      <c r="J170" s="34" t="s">
        <v>29</v>
      </c>
      <c r="K170" s="35">
        <v>3.2103300000000003E-11</v>
      </c>
      <c r="L170" s="35">
        <v>-7.15717E-18</v>
      </c>
      <c r="M170" s="34">
        <v>8</v>
      </c>
      <c r="N170" s="34" t="s">
        <v>29</v>
      </c>
      <c r="O170">
        <f t="shared" si="2"/>
        <v>21.357500000000002</v>
      </c>
    </row>
    <row r="171" spans="1:15" x14ac:dyDescent="0.25">
      <c r="A171" s="34">
        <v>1.5</v>
      </c>
      <c r="B171" s="1">
        <v>69</v>
      </c>
      <c r="C171" s="34">
        <v>-97</v>
      </c>
      <c r="D171" s="34">
        <v>-39.335000000000001</v>
      </c>
      <c r="E171" s="34">
        <v>32.746299999999998</v>
      </c>
      <c r="F171" s="34">
        <v>14</v>
      </c>
      <c r="G171" s="35">
        <v>6.6093799999999999E-7</v>
      </c>
      <c r="H171" s="35">
        <v>1.57961E-18</v>
      </c>
      <c r="I171" s="34">
        <v>30</v>
      </c>
      <c r="J171" s="34" t="s">
        <v>29</v>
      </c>
      <c r="K171" s="35">
        <v>-6.1655799999999995E-8</v>
      </c>
      <c r="L171" s="35">
        <v>-7.0811400000000005E-18</v>
      </c>
      <c r="M171" s="34">
        <v>24</v>
      </c>
      <c r="N171" s="34" t="s">
        <v>29</v>
      </c>
      <c r="O171">
        <f t="shared" si="2"/>
        <v>72.081299999999999</v>
      </c>
    </row>
    <row r="172" spans="1:15" x14ac:dyDescent="0.25">
      <c r="A172" s="34">
        <v>1.5</v>
      </c>
      <c r="B172" s="1">
        <v>70</v>
      </c>
      <c r="C172" s="34">
        <v>-27</v>
      </c>
      <c r="D172" s="34">
        <v>-9.9140599999999992</v>
      </c>
      <c r="E172" s="34">
        <v>11.4434</v>
      </c>
      <c r="F172" s="34">
        <v>11</v>
      </c>
      <c r="G172" s="35">
        <v>-3.9076499999999998E-5</v>
      </c>
      <c r="H172" s="35">
        <v>3.05323E-14</v>
      </c>
      <c r="I172" s="34">
        <v>28</v>
      </c>
      <c r="J172" s="34" t="s">
        <v>29</v>
      </c>
      <c r="K172" s="35">
        <v>3.4675799999999999E-13</v>
      </c>
      <c r="L172" s="35">
        <v>-7.15717E-18</v>
      </c>
      <c r="M172" s="34">
        <v>8</v>
      </c>
      <c r="N172" s="34" t="s">
        <v>29</v>
      </c>
      <c r="O172">
        <f t="shared" si="2"/>
        <v>21.35746</v>
      </c>
    </row>
    <row r="173" spans="1:15" x14ac:dyDescent="0.25">
      <c r="A173" s="34">
        <v>1.5</v>
      </c>
      <c r="B173" s="1">
        <v>71</v>
      </c>
      <c r="C173" s="34">
        <v>5</v>
      </c>
      <c r="D173" s="34">
        <v>-2.59375</v>
      </c>
      <c r="E173" s="34">
        <v>1.625</v>
      </c>
      <c r="F173" s="34">
        <v>8</v>
      </c>
      <c r="G173" s="35">
        <v>6.9754500000000004E-5</v>
      </c>
      <c r="H173" s="35">
        <v>9.7306500000000003E-14</v>
      </c>
      <c r="I173" s="34">
        <v>24</v>
      </c>
      <c r="J173" s="34" t="s">
        <v>29</v>
      </c>
      <c r="K173" s="35">
        <v>2.9234600000000002E-13</v>
      </c>
      <c r="L173" s="35">
        <v>-7.15717E-18</v>
      </c>
      <c r="M173" s="34">
        <v>8</v>
      </c>
      <c r="N173" s="34" t="s">
        <v>29</v>
      </c>
      <c r="O173">
        <f t="shared" si="2"/>
        <v>4.21875</v>
      </c>
    </row>
    <row r="174" spans="1:15" x14ac:dyDescent="0.25">
      <c r="A174" s="34">
        <v>1.5</v>
      </c>
      <c r="B174" s="1">
        <v>72</v>
      </c>
      <c r="C174" s="34">
        <v>68</v>
      </c>
      <c r="D174" s="34">
        <v>60.406199999999998</v>
      </c>
      <c r="E174" s="34">
        <v>64.625</v>
      </c>
      <c r="F174" s="34">
        <v>8</v>
      </c>
      <c r="G174" s="34">
        <v>62.748100000000001</v>
      </c>
      <c r="H174" s="34">
        <v>-0.92114799999999997</v>
      </c>
      <c r="I174" s="34">
        <v>24</v>
      </c>
      <c r="J174" s="34" t="s">
        <v>28</v>
      </c>
      <c r="K174" s="34">
        <v>62.748199999999997</v>
      </c>
      <c r="L174" s="34">
        <v>-0.92114799999999997</v>
      </c>
      <c r="M174" s="34">
        <v>20</v>
      </c>
      <c r="N174" s="34" t="s">
        <v>28</v>
      </c>
      <c r="O174">
        <f t="shared" si="2"/>
        <v>4.2188000000000017</v>
      </c>
    </row>
    <row r="175" spans="1:15" x14ac:dyDescent="0.25">
      <c r="A175" s="34">
        <v>1.5</v>
      </c>
      <c r="B175" s="1">
        <v>73</v>
      </c>
      <c r="C175" s="34">
        <v>56</v>
      </c>
      <c r="D175" s="34">
        <v>61.0625</v>
      </c>
      <c r="E175" s="34">
        <v>67.390600000000006</v>
      </c>
      <c r="F175" s="34">
        <v>8</v>
      </c>
      <c r="G175" s="34">
        <v>62.748100000000001</v>
      </c>
      <c r="H175" s="34">
        <v>-0.92114799999999997</v>
      </c>
      <c r="I175" s="34">
        <v>25</v>
      </c>
      <c r="J175" s="34" t="s">
        <v>28</v>
      </c>
      <c r="K175" s="34">
        <v>62.748199999999997</v>
      </c>
      <c r="L175" s="34">
        <v>-0.92114799999999997</v>
      </c>
      <c r="M175" s="34">
        <v>20</v>
      </c>
      <c r="N175" s="34" t="s">
        <v>28</v>
      </c>
      <c r="O175">
        <f t="shared" si="2"/>
        <v>6.3281000000000063</v>
      </c>
    </row>
    <row r="176" spans="1:15" x14ac:dyDescent="0.25">
      <c r="A176" s="34">
        <v>1.5</v>
      </c>
      <c r="B176" s="1">
        <v>74</v>
      </c>
      <c r="C176" s="34">
        <v>-84</v>
      </c>
      <c r="D176" s="34">
        <v>-26.335000000000001</v>
      </c>
      <c r="E176" s="34">
        <v>45.746299999999998</v>
      </c>
      <c r="F176" s="34">
        <v>14</v>
      </c>
      <c r="G176" s="35">
        <v>-8.5613100000000002E-5</v>
      </c>
      <c r="H176" s="35">
        <v>1.46585E-13</v>
      </c>
      <c r="I176" s="34">
        <v>30</v>
      </c>
      <c r="J176" s="34" t="s">
        <v>29</v>
      </c>
      <c r="K176" s="35">
        <v>7.7814800000000006E-11</v>
      </c>
      <c r="L176" s="35">
        <v>-7.15717E-18</v>
      </c>
      <c r="M176" s="34">
        <v>12</v>
      </c>
      <c r="N176" s="34" t="s">
        <v>29</v>
      </c>
      <c r="O176">
        <f t="shared" si="2"/>
        <v>72.081299999999999</v>
      </c>
    </row>
    <row r="177" spans="1:15" x14ac:dyDescent="0.25">
      <c r="A177" s="34">
        <v>1.5</v>
      </c>
      <c r="B177" s="1">
        <v>75</v>
      </c>
      <c r="C177" s="34">
        <v>84</v>
      </c>
      <c r="D177" s="34">
        <v>58.371099999999998</v>
      </c>
      <c r="E177" s="34">
        <v>72.609399999999994</v>
      </c>
      <c r="F177" s="34">
        <v>11</v>
      </c>
      <c r="G177" s="34">
        <v>62.748100000000001</v>
      </c>
      <c r="H177" s="34">
        <v>-0.92114799999999997</v>
      </c>
      <c r="I177" s="34">
        <v>27</v>
      </c>
      <c r="J177" s="34" t="s">
        <v>28</v>
      </c>
      <c r="K177" s="34">
        <v>62.748199999999997</v>
      </c>
      <c r="L177" s="34">
        <v>-0.92114799999999997</v>
      </c>
      <c r="M177" s="34">
        <v>20</v>
      </c>
      <c r="N177" s="34" t="s">
        <v>28</v>
      </c>
      <c r="O177">
        <f t="shared" si="2"/>
        <v>14.238299999999995</v>
      </c>
    </row>
    <row r="178" spans="1:15" x14ac:dyDescent="0.25">
      <c r="A178" s="34">
        <v>1.5</v>
      </c>
      <c r="B178" s="1">
        <v>76</v>
      </c>
      <c r="C178" s="34">
        <v>-38</v>
      </c>
      <c r="D178" s="34">
        <v>-12.3711</v>
      </c>
      <c r="E178" s="34">
        <v>19.664999999999999</v>
      </c>
      <c r="F178" s="34">
        <v>12</v>
      </c>
      <c r="G178" s="35">
        <v>-3.1333900000000002E-5</v>
      </c>
      <c r="H178" s="35">
        <v>1.9629099999999999E-14</v>
      </c>
      <c r="I178" s="34">
        <v>29</v>
      </c>
      <c r="J178" s="34" t="s">
        <v>29</v>
      </c>
      <c r="K178" s="35">
        <v>2.9964700000000001E-12</v>
      </c>
      <c r="L178" s="35">
        <v>-7.15717E-18</v>
      </c>
      <c r="M178" s="34">
        <v>8</v>
      </c>
      <c r="N178" s="34" t="s">
        <v>29</v>
      </c>
      <c r="O178">
        <f t="shared" si="2"/>
        <v>32.036099999999998</v>
      </c>
    </row>
    <row r="179" spans="1:15" x14ac:dyDescent="0.25">
      <c r="A179" s="34">
        <v>1.5</v>
      </c>
      <c r="B179" s="1">
        <v>77</v>
      </c>
      <c r="C179" s="34">
        <v>-42</v>
      </c>
      <c r="D179" s="34">
        <v>-16.371099999999998</v>
      </c>
      <c r="E179" s="34">
        <v>15.664999999999999</v>
      </c>
      <c r="F179" s="34">
        <v>12</v>
      </c>
      <c r="G179" s="35">
        <v>-3.92227E-5</v>
      </c>
      <c r="H179" s="35">
        <v>3.0761199999999998E-14</v>
      </c>
      <c r="I179" s="34">
        <v>29</v>
      </c>
      <c r="J179" s="34" t="s">
        <v>29</v>
      </c>
      <c r="K179" s="35">
        <v>3.3072299999999998E-11</v>
      </c>
      <c r="L179" s="35">
        <v>-7.15717E-18</v>
      </c>
      <c r="M179" s="34">
        <v>8</v>
      </c>
      <c r="N179" s="34" t="s">
        <v>29</v>
      </c>
      <c r="O179">
        <f t="shared" si="2"/>
        <v>32.036099999999998</v>
      </c>
    </row>
    <row r="180" spans="1:15" x14ac:dyDescent="0.25">
      <c r="A180" s="34">
        <v>1.5</v>
      </c>
      <c r="B180" s="1">
        <v>78</v>
      </c>
      <c r="C180" s="34">
        <v>78</v>
      </c>
      <c r="D180" s="34">
        <v>52.371099999999998</v>
      </c>
      <c r="E180" s="34">
        <v>66.609399999999994</v>
      </c>
      <c r="F180" s="34">
        <v>11</v>
      </c>
      <c r="G180" s="34">
        <v>62.748199999999997</v>
      </c>
      <c r="H180" s="34">
        <v>-0.92114799999999997</v>
      </c>
      <c r="I180" s="34">
        <v>27</v>
      </c>
      <c r="J180" s="34" t="s">
        <v>28</v>
      </c>
      <c r="K180" s="34">
        <v>62.759500000000003</v>
      </c>
      <c r="L180" s="34">
        <v>-0.92114600000000002</v>
      </c>
      <c r="M180" s="34">
        <v>15</v>
      </c>
      <c r="N180" s="34" t="s">
        <v>28</v>
      </c>
      <c r="O180">
        <f t="shared" si="2"/>
        <v>14.238299999999995</v>
      </c>
    </row>
    <row r="181" spans="1:15" x14ac:dyDescent="0.25">
      <c r="A181" s="34">
        <v>1.5</v>
      </c>
      <c r="B181" s="1">
        <v>79</v>
      </c>
      <c r="C181" s="34">
        <v>38</v>
      </c>
      <c r="D181" s="34">
        <v>-19.664999999999999</v>
      </c>
      <c r="E181" s="34">
        <v>12.3711</v>
      </c>
      <c r="F181" s="34">
        <v>13</v>
      </c>
      <c r="G181" s="35">
        <v>3.1333900000000002E-5</v>
      </c>
      <c r="H181" s="35">
        <v>1.9629099999999999E-14</v>
      </c>
      <c r="I181" s="34">
        <v>29</v>
      </c>
      <c r="J181" s="34" t="s">
        <v>29</v>
      </c>
      <c r="K181" s="35">
        <v>1.31742E-9</v>
      </c>
      <c r="L181" s="35">
        <v>-7.1571299999999994E-18</v>
      </c>
      <c r="M181" s="34">
        <v>8</v>
      </c>
      <c r="N181" s="34" t="s">
        <v>29</v>
      </c>
      <c r="O181">
        <f t="shared" si="2"/>
        <v>32.036099999999998</v>
      </c>
    </row>
    <row r="182" spans="1:15" x14ac:dyDescent="0.25">
      <c r="A182" s="34">
        <v>1.5</v>
      </c>
      <c r="B182" s="1">
        <v>80</v>
      </c>
      <c r="C182" s="34">
        <v>67</v>
      </c>
      <c r="D182" s="34">
        <v>59.406199999999998</v>
      </c>
      <c r="E182" s="34">
        <v>63.625</v>
      </c>
      <c r="F182" s="34">
        <v>8</v>
      </c>
      <c r="G182" s="34">
        <v>62.748100000000001</v>
      </c>
      <c r="H182" s="34">
        <v>-0.92114799999999997</v>
      </c>
      <c r="I182" s="34">
        <v>24</v>
      </c>
      <c r="J182" s="34" t="s">
        <v>28</v>
      </c>
      <c r="K182" s="34">
        <v>62.748199999999997</v>
      </c>
      <c r="L182" s="34">
        <v>-0.92114799999999997</v>
      </c>
      <c r="M182" s="34">
        <v>20</v>
      </c>
      <c r="N182" s="34" t="s">
        <v>28</v>
      </c>
      <c r="O182">
        <f t="shared" si="2"/>
        <v>4.2188000000000017</v>
      </c>
    </row>
    <row r="183" spans="1:15" x14ac:dyDescent="0.25">
      <c r="A183" s="34">
        <v>1.5</v>
      </c>
      <c r="B183" s="1">
        <v>81</v>
      </c>
      <c r="C183" s="34">
        <v>-15</v>
      </c>
      <c r="D183" s="34">
        <v>-3.6093799999999998</v>
      </c>
      <c r="E183" s="34">
        <v>10.6289</v>
      </c>
      <c r="F183" s="34">
        <v>10</v>
      </c>
      <c r="G183" s="35">
        <v>6.8223800000000002E-5</v>
      </c>
      <c r="H183" s="35">
        <v>9.3082699999999999E-14</v>
      </c>
      <c r="I183" s="34">
        <v>27</v>
      </c>
      <c r="J183" s="34" t="s">
        <v>29</v>
      </c>
      <c r="K183" s="35">
        <v>1.7644599999999999E-12</v>
      </c>
      <c r="L183" s="35">
        <v>-7.15717E-18</v>
      </c>
      <c r="M183" s="34">
        <v>8</v>
      </c>
      <c r="N183" s="34" t="s">
        <v>29</v>
      </c>
      <c r="O183">
        <f t="shared" si="2"/>
        <v>14.23828</v>
      </c>
    </row>
    <row r="184" spans="1:15" x14ac:dyDescent="0.25">
      <c r="A184" s="34">
        <v>1.5</v>
      </c>
      <c r="B184" s="1">
        <v>82</v>
      </c>
      <c r="C184" s="34">
        <v>1</v>
      </c>
      <c r="D184" s="34">
        <v>-0.5</v>
      </c>
      <c r="E184" s="34">
        <v>1</v>
      </c>
      <c r="F184" s="34">
        <v>4</v>
      </c>
      <c r="G184" s="35">
        <v>-1.4115500000000001E-5</v>
      </c>
      <c r="H184" s="35">
        <v>3.9778000000000001E-15</v>
      </c>
      <c r="I184" s="34">
        <v>22</v>
      </c>
      <c r="J184" s="34" t="s">
        <v>29</v>
      </c>
      <c r="K184" s="35">
        <v>2.3139699999999999E-13</v>
      </c>
      <c r="L184" s="35">
        <v>-7.15717E-18</v>
      </c>
      <c r="M184" s="34">
        <v>8</v>
      </c>
      <c r="N184" s="34" t="s">
        <v>29</v>
      </c>
      <c r="O184">
        <f t="shared" si="2"/>
        <v>1.5</v>
      </c>
    </row>
    <row r="185" spans="1:15" x14ac:dyDescent="0.25">
      <c r="A185" s="34">
        <v>1.5</v>
      </c>
      <c r="B185" s="1">
        <v>83</v>
      </c>
      <c r="C185" s="34">
        <v>-83</v>
      </c>
      <c r="D185" s="34">
        <v>-25.335000000000001</v>
      </c>
      <c r="E185" s="34">
        <v>46.746299999999998</v>
      </c>
      <c r="F185" s="34">
        <v>14</v>
      </c>
      <c r="G185" s="35">
        <v>-7.89216E-5</v>
      </c>
      <c r="H185" s="35">
        <v>1.2456500000000001E-13</v>
      </c>
      <c r="I185" s="34">
        <v>30</v>
      </c>
      <c r="J185" s="34" t="s">
        <v>29</v>
      </c>
      <c r="K185" s="35">
        <v>6.0809500000000003E-11</v>
      </c>
      <c r="L185" s="35">
        <v>-7.15717E-18</v>
      </c>
      <c r="M185" s="34">
        <v>12</v>
      </c>
      <c r="N185" s="34" t="s">
        <v>29</v>
      </c>
      <c r="O185">
        <f t="shared" si="2"/>
        <v>72.081299999999999</v>
      </c>
    </row>
    <row r="186" spans="1:15" x14ac:dyDescent="0.25">
      <c r="A186" s="34">
        <v>1.5</v>
      </c>
      <c r="B186" s="1">
        <v>84</v>
      </c>
      <c r="C186" s="34">
        <v>-49</v>
      </c>
      <c r="D186" s="34">
        <v>-10.5566</v>
      </c>
      <c r="E186" s="34">
        <v>37.497599999999998</v>
      </c>
      <c r="F186" s="34">
        <v>13</v>
      </c>
      <c r="G186" s="35">
        <v>-3.1223300000000003E-5</v>
      </c>
      <c r="H186" s="35">
        <v>1.9490700000000001E-14</v>
      </c>
      <c r="I186" s="34">
        <v>29</v>
      </c>
      <c r="J186" s="34" t="s">
        <v>29</v>
      </c>
      <c r="K186" s="35">
        <v>2.3465500000000002E-13</v>
      </c>
      <c r="L186" s="35">
        <v>-7.15717E-18</v>
      </c>
      <c r="M186" s="34">
        <v>12</v>
      </c>
      <c r="N186" s="34" t="s">
        <v>29</v>
      </c>
      <c r="O186">
        <f t="shared" si="2"/>
        <v>48.054199999999994</v>
      </c>
    </row>
    <row r="187" spans="1:15" x14ac:dyDescent="0.25">
      <c r="A187" s="34">
        <v>1.5</v>
      </c>
      <c r="B187" s="1">
        <v>85</v>
      </c>
      <c r="C187" s="34">
        <v>-59</v>
      </c>
      <c r="D187" s="34">
        <v>-20.5566</v>
      </c>
      <c r="E187" s="34">
        <v>27.497599999999998</v>
      </c>
      <c r="F187" s="34">
        <v>13</v>
      </c>
      <c r="G187" s="35">
        <v>-5.0945200000000001E-5</v>
      </c>
      <c r="H187" s="35">
        <v>5.1901199999999997E-14</v>
      </c>
      <c r="I187" s="34">
        <v>29</v>
      </c>
      <c r="J187" s="34" t="s">
        <v>29</v>
      </c>
      <c r="K187" s="35">
        <v>2.2582099999999999E-13</v>
      </c>
      <c r="L187" s="35">
        <v>-7.15717E-18</v>
      </c>
      <c r="M187" s="34">
        <v>12</v>
      </c>
      <c r="N187" s="34" t="s">
        <v>29</v>
      </c>
      <c r="O187">
        <f t="shared" si="2"/>
        <v>48.054199999999994</v>
      </c>
    </row>
    <row r="188" spans="1:15" x14ac:dyDescent="0.25">
      <c r="A188" s="34">
        <v>1.5</v>
      </c>
      <c r="B188" s="1">
        <v>86</v>
      </c>
      <c r="C188" s="34">
        <v>-51</v>
      </c>
      <c r="D188" s="34">
        <v>-12.5566</v>
      </c>
      <c r="E188" s="34">
        <v>35.497599999999998</v>
      </c>
      <c r="F188" s="34">
        <v>13</v>
      </c>
      <c r="G188" s="35">
        <v>-3.5167699999999999E-5</v>
      </c>
      <c r="H188" s="35">
        <v>2.47281E-14</v>
      </c>
      <c r="I188" s="34">
        <v>29</v>
      </c>
      <c r="J188" s="34" t="s">
        <v>29</v>
      </c>
      <c r="K188" s="35">
        <v>3.49846E-12</v>
      </c>
      <c r="L188" s="35">
        <v>-7.15717E-18</v>
      </c>
      <c r="M188" s="34">
        <v>12</v>
      </c>
      <c r="N188" s="34" t="s">
        <v>29</v>
      </c>
      <c r="O188">
        <f t="shared" si="2"/>
        <v>48.054199999999994</v>
      </c>
    </row>
    <row r="189" spans="1:15" x14ac:dyDescent="0.25">
      <c r="A189" s="34">
        <v>1.5</v>
      </c>
      <c r="B189" s="1">
        <v>87</v>
      </c>
      <c r="C189" s="34">
        <v>-31</v>
      </c>
      <c r="D189" s="34">
        <v>-13.914099999999999</v>
      </c>
      <c r="E189" s="34">
        <v>7.4433600000000002</v>
      </c>
      <c r="F189" s="34">
        <v>11</v>
      </c>
      <c r="G189" s="35">
        <v>-6.2786099999999998E-5</v>
      </c>
      <c r="H189" s="35">
        <v>7.8834599999999996E-14</v>
      </c>
      <c r="I189" s="34">
        <v>28</v>
      </c>
      <c r="J189" s="34" t="s">
        <v>29</v>
      </c>
      <c r="K189" s="35">
        <v>3.5554500000000002E-11</v>
      </c>
      <c r="L189" s="35">
        <v>-7.15717E-18</v>
      </c>
      <c r="M189" s="34">
        <v>8</v>
      </c>
      <c r="N189" s="34" t="s">
        <v>29</v>
      </c>
      <c r="O189">
        <f t="shared" si="2"/>
        <v>21.35746</v>
      </c>
    </row>
    <row r="190" spans="1:15" x14ac:dyDescent="0.25">
      <c r="A190" s="34">
        <v>1.5</v>
      </c>
      <c r="B190" s="1">
        <v>88</v>
      </c>
      <c r="C190" s="34">
        <v>-15</v>
      </c>
      <c r="D190" s="34">
        <v>-3.6093799999999998</v>
      </c>
      <c r="E190" s="34">
        <v>10.6289</v>
      </c>
      <c r="F190" s="34">
        <v>10</v>
      </c>
      <c r="G190" s="35">
        <v>6.8223800000000002E-5</v>
      </c>
      <c r="H190" s="35">
        <v>9.3082699999999999E-14</v>
      </c>
      <c r="I190" s="34">
        <v>27</v>
      </c>
      <c r="J190" s="34" t="s">
        <v>29</v>
      </c>
      <c r="K190" s="35">
        <v>1.7644599999999999E-12</v>
      </c>
      <c r="L190" s="35">
        <v>-7.15717E-18</v>
      </c>
      <c r="M190" s="34">
        <v>8</v>
      </c>
      <c r="N190" s="34" t="s">
        <v>29</v>
      </c>
      <c r="O190">
        <f t="shared" si="2"/>
        <v>14.23828</v>
      </c>
    </row>
    <row r="191" spans="1:15" x14ac:dyDescent="0.25">
      <c r="A191" s="34">
        <v>1.5</v>
      </c>
      <c r="B191" s="1">
        <v>89</v>
      </c>
      <c r="C191" s="34">
        <v>8</v>
      </c>
      <c r="D191" s="34">
        <v>-3.3906200000000002</v>
      </c>
      <c r="E191" s="34">
        <v>2.9375</v>
      </c>
      <c r="F191" s="34">
        <v>9</v>
      </c>
      <c r="G191" s="35">
        <v>-6.7685800000000002E-6</v>
      </c>
      <c r="H191" s="35">
        <v>9.09116E-16</v>
      </c>
      <c r="I191" s="34">
        <v>25</v>
      </c>
      <c r="J191" s="34" t="s">
        <v>29</v>
      </c>
      <c r="K191" s="35">
        <v>3.3131400000000002E-13</v>
      </c>
      <c r="L191" s="35">
        <v>-7.15717E-18</v>
      </c>
      <c r="M191" s="34">
        <v>8</v>
      </c>
      <c r="N191" s="34" t="s">
        <v>29</v>
      </c>
      <c r="O191">
        <f t="shared" si="2"/>
        <v>6.3281200000000002</v>
      </c>
    </row>
    <row r="192" spans="1:15" x14ac:dyDescent="0.25">
      <c r="A192" s="34">
        <v>1.5</v>
      </c>
      <c r="B192" s="1">
        <v>90</v>
      </c>
      <c r="C192" s="34">
        <v>-24</v>
      </c>
      <c r="D192" s="34">
        <v>-6.9140600000000001</v>
      </c>
      <c r="E192" s="34">
        <v>14.4434</v>
      </c>
      <c r="F192" s="34">
        <v>11</v>
      </c>
      <c r="G192" s="35">
        <v>-5.4895200000000003E-5</v>
      </c>
      <c r="H192" s="35">
        <v>6.0262399999999997E-14</v>
      </c>
      <c r="I192" s="34">
        <v>28</v>
      </c>
      <c r="J192" s="34" t="s">
        <v>29</v>
      </c>
      <c r="K192" s="35">
        <v>2.7944200000000001E-12</v>
      </c>
      <c r="L192" s="35">
        <v>-7.15717E-18</v>
      </c>
      <c r="M192" s="34">
        <v>8</v>
      </c>
      <c r="N192" s="34" t="s">
        <v>29</v>
      </c>
      <c r="O192">
        <f t="shared" si="2"/>
        <v>21.35746</v>
      </c>
    </row>
    <row r="193" spans="1:15" x14ac:dyDescent="0.25">
      <c r="A193" s="34">
        <v>1.5</v>
      </c>
      <c r="B193" s="1">
        <v>91</v>
      </c>
      <c r="C193" s="34">
        <v>-49</v>
      </c>
      <c r="D193" s="34">
        <v>-10.5566</v>
      </c>
      <c r="E193" s="34">
        <v>37.497599999999998</v>
      </c>
      <c r="F193" s="34">
        <v>13</v>
      </c>
      <c r="G193" s="35">
        <v>-3.1223300000000003E-5</v>
      </c>
      <c r="H193" s="35">
        <v>1.9490700000000001E-14</v>
      </c>
      <c r="I193" s="34">
        <v>29</v>
      </c>
      <c r="J193" s="34" t="s">
        <v>29</v>
      </c>
      <c r="K193" s="35">
        <v>2.3465500000000002E-13</v>
      </c>
      <c r="L193" s="35">
        <v>-7.15717E-18</v>
      </c>
      <c r="M193" s="34">
        <v>12</v>
      </c>
      <c r="N193" s="34" t="s">
        <v>29</v>
      </c>
      <c r="O193">
        <f t="shared" si="2"/>
        <v>48.054199999999994</v>
      </c>
    </row>
    <row r="194" spans="1:15" x14ac:dyDescent="0.25">
      <c r="A194" s="34">
        <v>1.5</v>
      </c>
      <c r="B194" s="1">
        <v>92</v>
      </c>
      <c r="C194" s="34">
        <v>-77</v>
      </c>
      <c r="D194" s="34">
        <v>9.49756</v>
      </c>
      <c r="E194" s="34">
        <v>117.62</v>
      </c>
      <c r="F194" s="34">
        <v>15</v>
      </c>
      <c r="G194" s="34">
        <v>62.748100000000001</v>
      </c>
      <c r="H194" s="34">
        <v>-0.92114799999999997</v>
      </c>
      <c r="I194" s="34">
        <v>31</v>
      </c>
      <c r="J194" s="34" t="s">
        <v>28</v>
      </c>
      <c r="K194" s="34">
        <v>60.022199999999998</v>
      </c>
      <c r="L194" s="34">
        <v>-0.81580699999999995</v>
      </c>
      <c r="M194" s="34">
        <v>7</v>
      </c>
      <c r="N194" s="34" t="s">
        <v>29</v>
      </c>
      <c r="O194">
        <f t="shared" si="2"/>
        <v>108.12244000000001</v>
      </c>
    </row>
    <row r="195" spans="1:15" x14ac:dyDescent="0.25">
      <c r="A195" s="34">
        <v>1.5</v>
      </c>
      <c r="B195" s="1">
        <v>93</v>
      </c>
      <c r="C195" s="34">
        <v>-29</v>
      </c>
      <c r="D195" s="34">
        <v>-11.914099999999999</v>
      </c>
      <c r="E195" s="34">
        <v>9.4433600000000002</v>
      </c>
      <c r="F195" s="34">
        <v>11</v>
      </c>
      <c r="G195" s="35">
        <v>-5.0931299999999998E-5</v>
      </c>
      <c r="H195" s="35">
        <v>5.1872799999999998E-14</v>
      </c>
      <c r="I195" s="34">
        <v>28</v>
      </c>
      <c r="J195" s="34" t="s">
        <v>29</v>
      </c>
      <c r="K195" s="35">
        <v>7.5150899999999996E-11</v>
      </c>
      <c r="L195" s="35">
        <v>-7.15717E-18</v>
      </c>
      <c r="M195" s="34">
        <v>8</v>
      </c>
      <c r="N195" s="34" t="s">
        <v>29</v>
      </c>
      <c r="O195">
        <f t="shared" si="2"/>
        <v>21.35746</v>
      </c>
    </row>
    <row r="196" spans="1:15" x14ac:dyDescent="0.25">
      <c r="A196" s="34">
        <v>1.5</v>
      </c>
      <c r="B196" s="1">
        <v>94</v>
      </c>
      <c r="C196" s="34">
        <v>-58</v>
      </c>
      <c r="D196" s="34">
        <v>-19.5566</v>
      </c>
      <c r="E196" s="34">
        <v>28.497599999999998</v>
      </c>
      <c r="F196" s="34">
        <v>13</v>
      </c>
      <c r="G196" s="35">
        <v>4.4475999999999999E-5</v>
      </c>
      <c r="H196" s="35">
        <v>3.9555100000000003E-14</v>
      </c>
      <c r="I196" s="34">
        <v>29</v>
      </c>
      <c r="J196" s="34" t="s">
        <v>29</v>
      </c>
      <c r="K196" s="35">
        <v>2.2869799999999998E-13</v>
      </c>
      <c r="L196" s="35">
        <v>-7.15717E-18</v>
      </c>
      <c r="M196" s="34">
        <v>12</v>
      </c>
      <c r="N196" s="34" t="s">
        <v>29</v>
      </c>
      <c r="O196">
        <f t="shared" ref="O196:O259" si="3">E196-D196</f>
        <v>48.054199999999994</v>
      </c>
    </row>
    <row r="197" spans="1:15" x14ac:dyDescent="0.25">
      <c r="A197" s="34">
        <v>1.5</v>
      </c>
      <c r="B197" s="1">
        <v>95</v>
      </c>
      <c r="C197" s="34">
        <v>-66</v>
      </c>
      <c r="D197" s="34">
        <v>-27.5566</v>
      </c>
      <c r="E197" s="34">
        <v>20.497599999999998</v>
      </c>
      <c r="F197" s="34">
        <v>13</v>
      </c>
      <c r="G197" s="35">
        <v>-6.4750600000000003E-5</v>
      </c>
      <c r="H197" s="35">
        <v>8.3845600000000001E-14</v>
      </c>
      <c r="I197" s="34">
        <v>29</v>
      </c>
      <c r="J197" s="34" t="s">
        <v>29</v>
      </c>
      <c r="K197" s="35">
        <v>-1.35965E-6</v>
      </c>
      <c r="L197" s="35">
        <v>2.9815800000000001E-17</v>
      </c>
      <c r="M197" s="34">
        <v>8</v>
      </c>
      <c r="N197" s="34" t="s">
        <v>29</v>
      </c>
      <c r="O197">
        <f t="shared" si="3"/>
        <v>48.054199999999994</v>
      </c>
    </row>
    <row r="198" spans="1:15" x14ac:dyDescent="0.25">
      <c r="A198" s="34">
        <v>1.5</v>
      </c>
      <c r="B198" s="1">
        <v>96</v>
      </c>
      <c r="C198" s="34">
        <v>90</v>
      </c>
      <c r="D198" s="34">
        <v>51.556600000000003</v>
      </c>
      <c r="E198" s="34">
        <v>72.914100000000005</v>
      </c>
      <c r="F198" s="34">
        <v>12</v>
      </c>
      <c r="G198" s="34">
        <v>62.748199999999997</v>
      </c>
      <c r="H198" s="34">
        <v>-0.92114799999999997</v>
      </c>
      <c r="I198" s="34">
        <v>28</v>
      </c>
      <c r="J198" s="34" t="s">
        <v>28</v>
      </c>
      <c r="K198" s="34">
        <v>62.748199999999997</v>
      </c>
      <c r="L198" s="34">
        <v>-0.92114799999999997</v>
      </c>
      <c r="M198" s="34">
        <v>28</v>
      </c>
      <c r="N198" s="34" t="s">
        <v>28</v>
      </c>
      <c r="O198">
        <f t="shared" si="3"/>
        <v>21.357500000000002</v>
      </c>
    </row>
    <row r="199" spans="1:15" x14ac:dyDescent="0.25">
      <c r="A199" s="34">
        <v>1.5</v>
      </c>
      <c r="B199" s="1">
        <v>97</v>
      </c>
      <c r="C199" s="34">
        <v>47</v>
      </c>
      <c r="D199" s="34">
        <v>58.390599999999999</v>
      </c>
      <c r="E199" s="34">
        <v>72.628900000000002</v>
      </c>
      <c r="F199" s="34">
        <v>10</v>
      </c>
      <c r="G199" s="34">
        <v>62.748199999999997</v>
      </c>
      <c r="H199" s="34">
        <v>-0.92114799999999997</v>
      </c>
      <c r="I199" s="34">
        <v>27</v>
      </c>
      <c r="J199" s="34" t="s">
        <v>28</v>
      </c>
      <c r="K199" s="34">
        <v>62.748199999999997</v>
      </c>
      <c r="L199" s="34">
        <v>-0.92114799999999997</v>
      </c>
      <c r="M199" s="34">
        <v>20</v>
      </c>
      <c r="N199" s="34" t="s">
        <v>28</v>
      </c>
      <c r="O199">
        <f t="shared" si="3"/>
        <v>14.238300000000002</v>
      </c>
    </row>
    <row r="200" spans="1:15" x14ac:dyDescent="0.25">
      <c r="A200" s="34">
        <v>1.5</v>
      </c>
      <c r="B200" s="1">
        <v>98</v>
      </c>
      <c r="C200" s="34">
        <v>64</v>
      </c>
      <c r="D200" s="34">
        <v>61.75</v>
      </c>
      <c r="E200" s="34">
        <v>63</v>
      </c>
      <c r="F200" s="34">
        <v>5</v>
      </c>
      <c r="G200" s="34">
        <v>62.748100000000001</v>
      </c>
      <c r="H200" s="34">
        <v>-0.92114799999999997</v>
      </c>
      <c r="I200" s="34">
        <v>22</v>
      </c>
      <c r="J200" s="34" t="s">
        <v>28</v>
      </c>
      <c r="K200" s="34">
        <v>62.748199999999997</v>
      </c>
      <c r="L200" s="34">
        <v>-0.92114799999999997</v>
      </c>
      <c r="M200" s="34">
        <v>16</v>
      </c>
      <c r="N200" s="34" t="s">
        <v>28</v>
      </c>
      <c r="O200">
        <f t="shared" si="3"/>
        <v>1.25</v>
      </c>
    </row>
    <row r="201" spans="1:15" x14ac:dyDescent="0.25">
      <c r="A201" s="34">
        <v>1.5</v>
      </c>
      <c r="B201" s="1">
        <v>99</v>
      </c>
      <c r="C201" s="34">
        <v>-38</v>
      </c>
      <c r="D201" s="34">
        <v>-12.3711</v>
      </c>
      <c r="E201" s="34">
        <v>19.664999999999999</v>
      </c>
      <c r="F201" s="34">
        <v>12</v>
      </c>
      <c r="G201" s="35">
        <v>-3.1333900000000002E-5</v>
      </c>
      <c r="H201" s="35">
        <v>1.9629099999999999E-14</v>
      </c>
      <c r="I201" s="34">
        <v>29</v>
      </c>
      <c r="J201" s="34" t="s">
        <v>29</v>
      </c>
      <c r="K201" s="35">
        <v>2.9964700000000001E-12</v>
      </c>
      <c r="L201" s="35">
        <v>-7.15717E-18</v>
      </c>
      <c r="M201" s="34">
        <v>8</v>
      </c>
      <c r="N201" s="34" t="s">
        <v>29</v>
      </c>
      <c r="O201">
        <f t="shared" si="3"/>
        <v>32.036099999999998</v>
      </c>
    </row>
    <row r="202" spans="1:15" ht="15.75" thickBot="1" x14ac:dyDescent="0.3">
      <c r="A202" s="5">
        <v>1.5</v>
      </c>
      <c r="B202" s="3">
        <v>100</v>
      </c>
      <c r="C202" s="5">
        <v>50</v>
      </c>
      <c r="D202" s="5">
        <v>57.593800000000002</v>
      </c>
      <c r="E202" s="5">
        <v>67.085899999999995</v>
      </c>
      <c r="F202" s="5">
        <v>9</v>
      </c>
      <c r="G202" s="5">
        <v>62.748199999999997</v>
      </c>
      <c r="H202" s="5">
        <v>-0.92114799999999997</v>
      </c>
      <c r="I202" s="5">
        <v>26</v>
      </c>
      <c r="J202" s="5" t="s">
        <v>28</v>
      </c>
      <c r="K202" s="5">
        <v>62.748199999999997</v>
      </c>
      <c r="L202" s="5">
        <v>-0.92114799999999997</v>
      </c>
      <c r="M202" s="5">
        <v>20</v>
      </c>
      <c r="N202" s="5" t="s">
        <v>28</v>
      </c>
      <c r="O202">
        <f t="shared" si="3"/>
        <v>9.4920999999999935</v>
      </c>
    </row>
    <row r="203" spans="1:15" x14ac:dyDescent="0.25">
      <c r="A203" s="36">
        <v>2</v>
      </c>
      <c r="B203" s="4">
        <v>1</v>
      </c>
      <c r="C203" s="36">
        <v>89</v>
      </c>
      <c r="D203" s="36">
        <v>25</v>
      </c>
      <c r="E203" s="36">
        <v>73</v>
      </c>
      <c r="F203" s="36">
        <v>9</v>
      </c>
      <c r="G203" s="36">
        <v>62.748100000000001</v>
      </c>
      <c r="H203" s="36">
        <v>-0.92114799999999997</v>
      </c>
      <c r="I203" s="36">
        <v>29</v>
      </c>
      <c r="J203" s="36" t="s">
        <v>28</v>
      </c>
      <c r="K203" s="36">
        <v>38.759399999999999</v>
      </c>
      <c r="L203" s="36">
        <v>3.2304699999999999E-2</v>
      </c>
      <c r="M203" s="36">
        <v>7</v>
      </c>
      <c r="N203" s="36" t="s">
        <v>29</v>
      </c>
      <c r="O203">
        <f t="shared" si="3"/>
        <v>48</v>
      </c>
    </row>
    <row r="204" spans="1:15" x14ac:dyDescent="0.25">
      <c r="A204" s="34">
        <v>2</v>
      </c>
      <c r="B204" s="1">
        <v>2</v>
      </c>
      <c r="C204" s="34">
        <v>19</v>
      </c>
      <c r="D204" s="34">
        <v>-13</v>
      </c>
      <c r="E204" s="34">
        <v>11</v>
      </c>
      <c r="F204" s="34">
        <v>8</v>
      </c>
      <c r="G204" s="35">
        <v>6.6076999999999998E-5</v>
      </c>
      <c r="H204" s="35">
        <v>8.7316299999999998E-14</v>
      </c>
      <c r="I204" s="34">
        <v>28</v>
      </c>
      <c r="J204" s="34" t="s">
        <v>29</v>
      </c>
      <c r="K204" s="35">
        <v>1.84846E-10</v>
      </c>
      <c r="L204" s="35">
        <v>-7.15717E-18</v>
      </c>
      <c r="M204" s="34">
        <v>8</v>
      </c>
      <c r="N204" s="34" t="s">
        <v>29</v>
      </c>
      <c r="O204">
        <f t="shared" si="3"/>
        <v>24</v>
      </c>
    </row>
    <row r="205" spans="1:15" x14ac:dyDescent="0.25">
      <c r="A205" s="34">
        <v>2</v>
      </c>
      <c r="B205" s="1">
        <v>3</v>
      </c>
      <c r="C205" s="34">
        <v>19</v>
      </c>
      <c r="D205" s="34">
        <v>-13</v>
      </c>
      <c r="E205" s="34">
        <v>11</v>
      </c>
      <c r="F205" s="34">
        <v>8</v>
      </c>
      <c r="G205" s="35">
        <v>6.6076999999999998E-5</v>
      </c>
      <c r="H205" s="35">
        <v>8.7316299999999998E-14</v>
      </c>
      <c r="I205" s="34">
        <v>28</v>
      </c>
      <c r="J205" s="34" t="s">
        <v>29</v>
      </c>
      <c r="K205" s="35">
        <v>1.84846E-10</v>
      </c>
      <c r="L205" s="35">
        <v>-7.15717E-18</v>
      </c>
      <c r="M205" s="34">
        <v>8</v>
      </c>
      <c r="N205" s="34" t="s">
        <v>29</v>
      </c>
      <c r="O205">
        <f t="shared" si="3"/>
        <v>24</v>
      </c>
    </row>
    <row r="206" spans="1:15" x14ac:dyDescent="0.25">
      <c r="A206" s="34">
        <v>2</v>
      </c>
      <c r="B206" s="1">
        <v>4</v>
      </c>
      <c r="C206" s="34">
        <v>45</v>
      </c>
      <c r="D206" s="34">
        <v>53</v>
      </c>
      <c r="E206" s="34">
        <v>77</v>
      </c>
      <c r="F206" s="34">
        <v>7</v>
      </c>
      <c r="G206" s="34">
        <v>62.748199999999997</v>
      </c>
      <c r="H206" s="34">
        <v>-0.92114799999999997</v>
      </c>
      <c r="I206" s="34">
        <v>28</v>
      </c>
      <c r="J206" s="34" t="s">
        <v>28</v>
      </c>
      <c r="K206" s="34">
        <v>62.748899999999999</v>
      </c>
      <c r="L206" s="34">
        <v>-0.92114799999999997</v>
      </c>
      <c r="M206" s="34">
        <v>23</v>
      </c>
      <c r="N206" s="34" t="s">
        <v>28</v>
      </c>
      <c r="O206">
        <f t="shared" si="3"/>
        <v>24</v>
      </c>
    </row>
    <row r="207" spans="1:15" x14ac:dyDescent="0.25">
      <c r="A207" s="34">
        <v>2</v>
      </c>
      <c r="B207" s="1">
        <v>5</v>
      </c>
      <c r="C207" s="34">
        <v>-13</v>
      </c>
      <c r="D207" s="34">
        <v>-5</v>
      </c>
      <c r="E207" s="34">
        <v>19</v>
      </c>
      <c r="F207" s="34">
        <v>7</v>
      </c>
      <c r="G207" s="35">
        <v>6.6076999999999998E-5</v>
      </c>
      <c r="H207" s="35">
        <v>8.7316299999999998E-14</v>
      </c>
      <c r="I207" s="34">
        <v>28</v>
      </c>
      <c r="J207" s="34" t="s">
        <v>29</v>
      </c>
      <c r="K207" s="35">
        <v>3.3000699999999999E-11</v>
      </c>
      <c r="L207" s="35">
        <v>-7.15717E-18</v>
      </c>
      <c r="M207" s="34">
        <v>8</v>
      </c>
      <c r="N207" s="34" t="s">
        <v>29</v>
      </c>
      <c r="O207">
        <f t="shared" si="3"/>
        <v>24</v>
      </c>
    </row>
    <row r="208" spans="1:15" x14ac:dyDescent="0.25">
      <c r="A208" s="34">
        <v>2</v>
      </c>
      <c r="B208" s="1">
        <v>6</v>
      </c>
      <c r="C208" s="34">
        <v>-45</v>
      </c>
      <c r="D208" s="34">
        <v>-29</v>
      </c>
      <c r="E208" s="34">
        <v>19</v>
      </c>
      <c r="F208" s="34">
        <v>8</v>
      </c>
      <c r="G208" s="35">
        <v>-4.8616499999999998E-5</v>
      </c>
      <c r="H208" s="35">
        <v>4.7264099999999999E-14</v>
      </c>
      <c r="I208" s="34">
        <v>29</v>
      </c>
      <c r="J208" s="34" t="s">
        <v>29</v>
      </c>
      <c r="K208" s="35">
        <v>-4.0154599999999999E-7</v>
      </c>
      <c r="L208" s="35">
        <v>-3.9323799999999997E-18</v>
      </c>
      <c r="M208" s="34">
        <v>8</v>
      </c>
      <c r="N208" s="34" t="s">
        <v>29</v>
      </c>
      <c r="O208">
        <f t="shared" si="3"/>
        <v>48</v>
      </c>
    </row>
    <row r="209" spans="1:15" x14ac:dyDescent="0.25">
      <c r="A209" s="34">
        <v>2</v>
      </c>
      <c r="B209" s="1">
        <v>7</v>
      </c>
      <c r="C209" s="34">
        <v>-93</v>
      </c>
      <c r="D209" s="34">
        <v>-61</v>
      </c>
      <c r="E209" s="34">
        <v>35</v>
      </c>
      <c r="F209" s="34">
        <v>9</v>
      </c>
      <c r="G209" s="35">
        <v>-1.85698E-5</v>
      </c>
      <c r="H209" s="35">
        <v>6.8896200000000001E-15</v>
      </c>
      <c r="I209" s="34">
        <v>31</v>
      </c>
      <c r="J209" s="34" t="s">
        <v>29</v>
      </c>
      <c r="K209" s="35">
        <v>-2.1511800000000001E-7</v>
      </c>
      <c r="L209" s="35">
        <v>-6.2316500000000003E-18</v>
      </c>
      <c r="M209" s="34">
        <v>28</v>
      </c>
      <c r="N209" s="34" t="s">
        <v>29</v>
      </c>
      <c r="O209">
        <f t="shared" si="3"/>
        <v>96</v>
      </c>
    </row>
    <row r="210" spans="1:15" x14ac:dyDescent="0.25">
      <c r="A210" s="34">
        <v>2</v>
      </c>
      <c r="B210" s="1">
        <v>8</v>
      </c>
      <c r="C210" s="34">
        <v>45</v>
      </c>
      <c r="D210" s="34">
        <v>53</v>
      </c>
      <c r="E210" s="34">
        <v>77</v>
      </c>
      <c r="F210" s="34">
        <v>7</v>
      </c>
      <c r="G210" s="34">
        <v>62.748199999999997</v>
      </c>
      <c r="H210" s="34">
        <v>-0.92114799999999997</v>
      </c>
      <c r="I210" s="34">
        <v>28</v>
      </c>
      <c r="J210" s="34" t="s">
        <v>28</v>
      </c>
      <c r="K210" s="34">
        <v>62.748899999999999</v>
      </c>
      <c r="L210" s="34">
        <v>-0.92114799999999997</v>
      </c>
      <c r="M210" s="34">
        <v>23</v>
      </c>
      <c r="N210" s="34" t="s">
        <v>28</v>
      </c>
      <c r="O210">
        <f t="shared" si="3"/>
        <v>24</v>
      </c>
    </row>
    <row r="211" spans="1:15" x14ac:dyDescent="0.25">
      <c r="A211" s="34">
        <v>2</v>
      </c>
      <c r="B211" s="1">
        <v>9</v>
      </c>
      <c r="C211" s="34">
        <v>-66</v>
      </c>
      <c r="D211" s="34">
        <v>-2</v>
      </c>
      <c r="E211" s="34">
        <v>190</v>
      </c>
      <c r="F211" s="34">
        <v>10</v>
      </c>
      <c r="G211" s="34">
        <v>62.748100000000001</v>
      </c>
      <c r="H211" s="34">
        <v>-0.92114799999999997</v>
      </c>
      <c r="I211" s="34">
        <v>32</v>
      </c>
      <c r="J211" s="34" t="s">
        <v>28</v>
      </c>
      <c r="K211" s="35">
        <v>-5.8884300000000003E-8</v>
      </c>
      <c r="L211" s="35">
        <v>-7.0878199999999996E-18</v>
      </c>
      <c r="M211" s="34">
        <v>16</v>
      </c>
      <c r="N211" s="34" t="s">
        <v>29</v>
      </c>
      <c r="O211">
        <f t="shared" si="3"/>
        <v>192</v>
      </c>
    </row>
    <row r="212" spans="1:15" x14ac:dyDescent="0.25">
      <c r="A212" s="34">
        <v>2</v>
      </c>
      <c r="B212" s="1">
        <v>10</v>
      </c>
      <c r="C212" s="34">
        <v>46</v>
      </c>
      <c r="D212" s="34">
        <v>54</v>
      </c>
      <c r="E212" s="34">
        <v>78</v>
      </c>
      <c r="F212" s="34">
        <v>7</v>
      </c>
      <c r="G212" s="34">
        <v>62.748199999999997</v>
      </c>
      <c r="H212" s="34">
        <v>-0.92114799999999997</v>
      </c>
      <c r="I212" s="34">
        <v>28</v>
      </c>
      <c r="J212" s="34" t="s">
        <v>28</v>
      </c>
      <c r="K212" s="34">
        <v>62.748199999999997</v>
      </c>
      <c r="L212" s="34">
        <v>-0.92114799999999997</v>
      </c>
      <c r="M212" s="34">
        <v>28</v>
      </c>
      <c r="N212" s="34" t="s">
        <v>28</v>
      </c>
      <c r="O212">
        <f t="shared" si="3"/>
        <v>24</v>
      </c>
    </row>
    <row r="213" spans="1:15" x14ac:dyDescent="0.25">
      <c r="A213" s="34">
        <v>2</v>
      </c>
      <c r="B213" s="1">
        <v>11</v>
      </c>
      <c r="C213" s="34">
        <v>12</v>
      </c>
      <c r="D213" s="34">
        <v>-4</v>
      </c>
      <c r="E213" s="34">
        <v>8</v>
      </c>
      <c r="F213" s="34">
        <v>7</v>
      </c>
      <c r="G213" s="35">
        <v>-8.2377099999999994E-5</v>
      </c>
      <c r="H213" s="35">
        <v>1.35712E-13</v>
      </c>
      <c r="I213" s="34">
        <v>26</v>
      </c>
      <c r="J213" s="34" t="s">
        <v>29</v>
      </c>
      <c r="K213" s="35">
        <v>6.4858299999999996E-13</v>
      </c>
      <c r="L213" s="35">
        <v>-7.15717E-18</v>
      </c>
      <c r="M213" s="34">
        <v>8</v>
      </c>
      <c r="N213" s="34" t="s">
        <v>29</v>
      </c>
      <c r="O213">
        <f t="shared" si="3"/>
        <v>12</v>
      </c>
    </row>
    <row r="214" spans="1:15" x14ac:dyDescent="0.25">
      <c r="A214" s="34">
        <v>2</v>
      </c>
      <c r="B214" s="1">
        <v>12</v>
      </c>
      <c r="C214" s="34">
        <v>-29</v>
      </c>
      <c r="D214" s="34">
        <v>-13</v>
      </c>
      <c r="E214" s="34">
        <v>35</v>
      </c>
      <c r="F214" s="34">
        <v>8</v>
      </c>
      <c r="G214" s="35">
        <v>1.3612600000000001E-5</v>
      </c>
      <c r="H214" s="35">
        <v>3.69891E-15</v>
      </c>
      <c r="I214" s="34">
        <v>29</v>
      </c>
      <c r="J214" s="34" t="s">
        <v>29</v>
      </c>
      <c r="K214" s="35">
        <v>3.69733E-12</v>
      </c>
      <c r="L214" s="35">
        <v>-7.15717E-18</v>
      </c>
      <c r="M214" s="34">
        <v>12</v>
      </c>
      <c r="N214" s="34" t="s">
        <v>29</v>
      </c>
      <c r="O214">
        <f t="shared" si="3"/>
        <v>48</v>
      </c>
    </row>
    <row r="215" spans="1:15" x14ac:dyDescent="0.25">
      <c r="A215" s="34">
        <v>2</v>
      </c>
      <c r="B215" s="1">
        <v>13</v>
      </c>
      <c r="C215" s="34">
        <v>99</v>
      </c>
      <c r="D215" s="34">
        <v>35</v>
      </c>
      <c r="E215" s="34">
        <v>83</v>
      </c>
      <c r="F215" s="34">
        <v>9</v>
      </c>
      <c r="G215" s="34">
        <v>62.748100000000001</v>
      </c>
      <c r="H215" s="34">
        <v>-0.92114799999999997</v>
      </c>
      <c r="I215" s="34">
        <v>29</v>
      </c>
      <c r="J215" s="34" t="s">
        <v>28</v>
      </c>
      <c r="K215" s="34">
        <v>58.116</v>
      </c>
      <c r="L215" s="34">
        <v>-0.64566400000000002</v>
      </c>
      <c r="M215" s="34">
        <v>7</v>
      </c>
      <c r="N215" s="34" t="s">
        <v>29</v>
      </c>
      <c r="O215">
        <f t="shared" si="3"/>
        <v>48</v>
      </c>
    </row>
    <row r="216" spans="1:15" x14ac:dyDescent="0.25">
      <c r="A216" s="34">
        <v>2</v>
      </c>
      <c r="B216" s="1">
        <v>14</v>
      </c>
      <c r="C216" s="34">
        <v>-18</v>
      </c>
      <c r="D216" s="34">
        <v>-10</v>
      </c>
      <c r="E216" s="34">
        <v>14</v>
      </c>
      <c r="F216" s="34">
        <v>7</v>
      </c>
      <c r="G216" s="35">
        <v>-5.6637400000000001E-5</v>
      </c>
      <c r="H216" s="35">
        <v>6.4148799999999998E-14</v>
      </c>
      <c r="I216" s="34">
        <v>28</v>
      </c>
      <c r="J216" s="34" t="s">
        <v>29</v>
      </c>
      <c r="K216" s="35">
        <v>7.9487499999999998E-13</v>
      </c>
      <c r="L216" s="35">
        <v>-7.15717E-18</v>
      </c>
      <c r="M216" s="34">
        <v>8</v>
      </c>
      <c r="N216" s="34" t="s">
        <v>29</v>
      </c>
      <c r="O216">
        <f t="shared" si="3"/>
        <v>24</v>
      </c>
    </row>
    <row r="217" spans="1:15" x14ac:dyDescent="0.25">
      <c r="A217" s="34">
        <v>2</v>
      </c>
      <c r="B217" s="1">
        <v>15</v>
      </c>
      <c r="C217" s="34">
        <v>22</v>
      </c>
      <c r="D217" s="34">
        <v>-10</v>
      </c>
      <c r="E217" s="34">
        <v>14</v>
      </c>
      <c r="F217" s="34">
        <v>8</v>
      </c>
      <c r="G217" s="35">
        <v>-5.6637400000000001E-5</v>
      </c>
      <c r="H217" s="35">
        <v>6.4148799999999998E-14</v>
      </c>
      <c r="I217" s="34">
        <v>28</v>
      </c>
      <c r="J217" s="34" t="s">
        <v>29</v>
      </c>
      <c r="K217" s="35">
        <v>7.9487499999999998E-13</v>
      </c>
      <c r="L217" s="35">
        <v>-7.15717E-18</v>
      </c>
      <c r="M217" s="34">
        <v>8</v>
      </c>
      <c r="N217" s="34" t="s">
        <v>29</v>
      </c>
      <c r="O217">
        <f t="shared" si="3"/>
        <v>24</v>
      </c>
    </row>
    <row r="218" spans="1:15" x14ac:dyDescent="0.25">
      <c r="A218" s="34">
        <v>2</v>
      </c>
      <c r="B218" s="1">
        <v>16</v>
      </c>
      <c r="C218" s="34">
        <v>-60</v>
      </c>
      <c r="D218" s="34">
        <v>4</v>
      </c>
      <c r="E218" s="34">
        <v>196</v>
      </c>
      <c r="F218" s="34">
        <v>10</v>
      </c>
      <c r="G218" s="34">
        <v>62.748100000000001</v>
      </c>
      <c r="H218" s="34">
        <v>-0.92114799999999997</v>
      </c>
      <c r="I218" s="34">
        <v>32</v>
      </c>
      <c r="J218" s="34" t="s">
        <v>28</v>
      </c>
      <c r="K218" s="34">
        <v>4</v>
      </c>
      <c r="L218" s="34">
        <v>3.2000000000000003E-4</v>
      </c>
      <c r="M218" s="34">
        <v>8</v>
      </c>
      <c r="N218" s="34" t="s">
        <v>29</v>
      </c>
      <c r="O218">
        <f t="shared" si="3"/>
        <v>192</v>
      </c>
    </row>
    <row r="219" spans="1:15" x14ac:dyDescent="0.25">
      <c r="A219" s="34">
        <v>2</v>
      </c>
      <c r="B219" s="1">
        <v>17</v>
      </c>
      <c r="C219" s="34">
        <v>-17</v>
      </c>
      <c r="D219" s="34">
        <v>-9</v>
      </c>
      <c r="E219" s="34">
        <v>15</v>
      </c>
      <c r="F219" s="34">
        <v>7</v>
      </c>
      <c r="G219" s="35">
        <v>-4.7197899999999997E-5</v>
      </c>
      <c r="H219" s="35">
        <v>4.45456E-14</v>
      </c>
      <c r="I219" s="34">
        <v>28</v>
      </c>
      <c r="J219" s="34" t="s">
        <v>29</v>
      </c>
      <c r="K219" s="35">
        <v>1.65369E-12</v>
      </c>
      <c r="L219" s="35">
        <v>-7.15717E-18</v>
      </c>
      <c r="M219" s="34">
        <v>8</v>
      </c>
      <c r="N219" s="34" t="s">
        <v>29</v>
      </c>
      <c r="O219">
        <f t="shared" si="3"/>
        <v>24</v>
      </c>
    </row>
    <row r="220" spans="1:15" x14ac:dyDescent="0.25">
      <c r="A220" s="34">
        <v>2</v>
      </c>
      <c r="B220" s="1">
        <v>18</v>
      </c>
      <c r="C220" s="34">
        <v>43</v>
      </c>
      <c r="D220" s="34">
        <v>-21</v>
      </c>
      <c r="E220" s="34">
        <v>27</v>
      </c>
      <c r="F220" s="34">
        <v>9</v>
      </c>
      <c r="G220" s="35">
        <v>2.91699E-5</v>
      </c>
      <c r="H220" s="35">
        <v>1.70105E-14</v>
      </c>
      <c r="I220" s="34">
        <v>29</v>
      </c>
      <c r="J220" s="34" t="s">
        <v>29</v>
      </c>
      <c r="K220" s="35">
        <v>2.2533599999999999E-13</v>
      </c>
      <c r="L220" s="35">
        <v>-7.15717E-18</v>
      </c>
      <c r="M220" s="34">
        <v>12</v>
      </c>
      <c r="N220" s="34" t="s">
        <v>29</v>
      </c>
      <c r="O220">
        <f t="shared" si="3"/>
        <v>48</v>
      </c>
    </row>
    <row r="221" spans="1:15" x14ac:dyDescent="0.25">
      <c r="A221" s="34">
        <v>2</v>
      </c>
      <c r="B221" s="1">
        <v>19</v>
      </c>
      <c r="C221" s="34">
        <v>25</v>
      </c>
      <c r="D221" s="34">
        <v>-39</v>
      </c>
      <c r="E221" s="34">
        <v>9</v>
      </c>
      <c r="F221" s="34">
        <v>9</v>
      </c>
      <c r="G221" s="35">
        <v>-5.2505800000000001E-5</v>
      </c>
      <c r="H221" s="35">
        <v>5.5130000000000001E-14</v>
      </c>
      <c r="I221" s="34">
        <v>29</v>
      </c>
      <c r="J221" s="34" t="s">
        <v>29</v>
      </c>
      <c r="K221" s="35">
        <v>2.8041500000000001E-10</v>
      </c>
      <c r="L221" s="35">
        <v>-7.1571600000000002E-18</v>
      </c>
      <c r="M221" s="34">
        <v>8</v>
      </c>
      <c r="N221" s="34" t="s">
        <v>29</v>
      </c>
      <c r="O221">
        <f t="shared" si="3"/>
        <v>48</v>
      </c>
    </row>
    <row r="222" spans="1:15" x14ac:dyDescent="0.25">
      <c r="A222" s="34">
        <v>2</v>
      </c>
      <c r="B222" s="1">
        <v>20</v>
      </c>
      <c r="C222" s="34">
        <v>91</v>
      </c>
      <c r="D222" s="34">
        <v>27</v>
      </c>
      <c r="E222" s="34">
        <v>75</v>
      </c>
      <c r="F222" s="34">
        <v>9</v>
      </c>
      <c r="G222" s="34">
        <v>62.748100000000001</v>
      </c>
      <c r="H222" s="34">
        <v>-0.92114799999999997</v>
      </c>
      <c r="I222" s="34">
        <v>29</v>
      </c>
      <c r="J222" s="34" t="s">
        <v>28</v>
      </c>
      <c r="K222" s="34">
        <v>49.248800000000003</v>
      </c>
      <c r="L222" s="34">
        <v>1.5180900000000001E-2</v>
      </c>
      <c r="M222" s="34">
        <v>7</v>
      </c>
      <c r="N222" s="34" t="s">
        <v>29</v>
      </c>
      <c r="O222">
        <f t="shared" si="3"/>
        <v>48</v>
      </c>
    </row>
    <row r="223" spans="1:15" x14ac:dyDescent="0.25">
      <c r="A223" s="34">
        <v>2</v>
      </c>
      <c r="B223" s="1">
        <v>21</v>
      </c>
      <c r="C223" s="34">
        <v>-81</v>
      </c>
      <c r="D223" s="34">
        <v>-49</v>
      </c>
      <c r="E223" s="34">
        <v>47</v>
      </c>
      <c r="F223" s="34">
        <v>9</v>
      </c>
      <c r="G223" s="35">
        <v>2.59978E-5</v>
      </c>
      <c r="H223" s="35">
        <v>1.3510500000000001E-14</v>
      </c>
      <c r="I223" s="34">
        <v>31</v>
      </c>
      <c r="J223" s="34" t="s">
        <v>29</v>
      </c>
      <c r="K223" s="35">
        <v>-4.47893E-7</v>
      </c>
      <c r="L223" s="35">
        <v>-3.1449900000000001E-18</v>
      </c>
      <c r="M223" s="34">
        <v>28</v>
      </c>
      <c r="N223" s="34" t="s">
        <v>29</v>
      </c>
      <c r="O223">
        <f t="shared" si="3"/>
        <v>96</v>
      </c>
    </row>
    <row r="224" spans="1:15" x14ac:dyDescent="0.25">
      <c r="A224" s="34">
        <v>2</v>
      </c>
      <c r="B224" s="1">
        <v>22</v>
      </c>
      <c r="C224" s="34">
        <v>77</v>
      </c>
      <c r="D224" s="34">
        <v>45</v>
      </c>
      <c r="E224" s="34">
        <v>69</v>
      </c>
      <c r="F224" s="34">
        <v>8</v>
      </c>
      <c r="G224" s="34">
        <v>62.748199999999997</v>
      </c>
      <c r="H224" s="34">
        <v>-0.92114799999999997</v>
      </c>
      <c r="I224" s="34">
        <v>28</v>
      </c>
      <c r="J224" s="34" t="s">
        <v>28</v>
      </c>
      <c r="K224" s="34">
        <v>62.857100000000003</v>
      </c>
      <c r="L224" s="34">
        <v>-0.92096999999999996</v>
      </c>
      <c r="M224" s="34">
        <v>15</v>
      </c>
      <c r="N224" s="34" t="s">
        <v>28</v>
      </c>
      <c r="O224">
        <f t="shared" si="3"/>
        <v>24</v>
      </c>
    </row>
    <row r="225" spans="1:15" x14ac:dyDescent="0.25">
      <c r="A225" s="34">
        <v>2</v>
      </c>
      <c r="B225" s="1">
        <v>23</v>
      </c>
      <c r="C225" s="34">
        <v>66</v>
      </c>
      <c r="D225" s="34">
        <v>58</v>
      </c>
      <c r="E225" s="34">
        <v>64</v>
      </c>
      <c r="F225" s="34">
        <v>6</v>
      </c>
      <c r="G225" s="34">
        <v>62.748100000000001</v>
      </c>
      <c r="H225" s="34">
        <v>-0.92114799999999997</v>
      </c>
      <c r="I225" s="34">
        <v>25</v>
      </c>
      <c r="J225" s="34" t="s">
        <v>28</v>
      </c>
      <c r="K225" s="34">
        <v>62.748199999999997</v>
      </c>
      <c r="L225" s="34">
        <v>-0.92114799999999997</v>
      </c>
      <c r="M225" s="34">
        <v>20</v>
      </c>
      <c r="N225" s="34" t="s">
        <v>28</v>
      </c>
      <c r="O225">
        <f t="shared" si="3"/>
        <v>6</v>
      </c>
    </row>
    <row r="226" spans="1:15" x14ac:dyDescent="0.25">
      <c r="A226" s="34">
        <v>2</v>
      </c>
      <c r="B226" s="1">
        <v>24</v>
      </c>
      <c r="C226" s="34">
        <v>-10</v>
      </c>
      <c r="D226" s="34">
        <v>-6</v>
      </c>
      <c r="E226" s="34">
        <v>6</v>
      </c>
      <c r="F226" s="34">
        <v>6</v>
      </c>
      <c r="G226" s="35">
        <v>9.8852500000000003E-5</v>
      </c>
      <c r="H226" s="35">
        <v>1.9542900000000001E-13</v>
      </c>
      <c r="I226" s="34">
        <v>26</v>
      </c>
      <c r="J226" s="34" t="s">
        <v>29</v>
      </c>
      <c r="K226" s="35">
        <v>1.6154400000000001E-11</v>
      </c>
      <c r="L226" s="35">
        <v>-7.15717E-18</v>
      </c>
      <c r="M226" s="34">
        <v>7</v>
      </c>
      <c r="N226" s="34" t="s">
        <v>29</v>
      </c>
      <c r="O226">
        <f t="shared" si="3"/>
        <v>12</v>
      </c>
    </row>
    <row r="227" spans="1:15" x14ac:dyDescent="0.25">
      <c r="A227" s="34">
        <v>2</v>
      </c>
      <c r="B227" s="1">
        <v>25</v>
      </c>
      <c r="C227" s="34">
        <v>71</v>
      </c>
      <c r="D227" s="34">
        <v>55</v>
      </c>
      <c r="E227" s="34">
        <v>67</v>
      </c>
      <c r="F227" s="34">
        <v>7</v>
      </c>
      <c r="G227" s="34">
        <v>62.748100000000001</v>
      </c>
      <c r="H227" s="34">
        <v>-0.92114799999999997</v>
      </c>
      <c r="I227" s="34">
        <v>26</v>
      </c>
      <c r="J227" s="34" t="s">
        <v>28</v>
      </c>
      <c r="K227" s="34">
        <v>62.748199999999997</v>
      </c>
      <c r="L227" s="34">
        <v>-0.92114799999999997</v>
      </c>
      <c r="M227" s="34">
        <v>28</v>
      </c>
      <c r="N227" s="34" t="s">
        <v>28</v>
      </c>
      <c r="O227">
        <f t="shared" si="3"/>
        <v>12</v>
      </c>
    </row>
    <row r="228" spans="1:15" x14ac:dyDescent="0.25">
      <c r="A228" s="34">
        <v>2</v>
      </c>
      <c r="B228" s="1">
        <v>26</v>
      </c>
      <c r="C228" s="34">
        <v>-99</v>
      </c>
      <c r="D228" s="34">
        <v>-35</v>
      </c>
      <c r="E228" s="34">
        <v>157</v>
      </c>
      <c r="F228" s="34">
        <v>10</v>
      </c>
      <c r="G228" s="35">
        <v>8.1255700000000002E-5</v>
      </c>
      <c r="H228" s="35">
        <v>1.32043E-13</v>
      </c>
      <c r="I228" s="34">
        <v>32</v>
      </c>
      <c r="J228" s="34" t="s">
        <v>29</v>
      </c>
      <c r="K228" s="34">
        <v>51.094999999999999</v>
      </c>
      <c r="L228" s="34">
        <v>-4.5327199999999998E-2</v>
      </c>
      <c r="M228" s="34">
        <v>7</v>
      </c>
      <c r="N228" s="34" t="s">
        <v>29</v>
      </c>
      <c r="O228">
        <f t="shared" si="3"/>
        <v>192</v>
      </c>
    </row>
    <row r="229" spans="1:15" x14ac:dyDescent="0.25">
      <c r="A229" s="34">
        <v>2</v>
      </c>
      <c r="B229" s="1">
        <v>27</v>
      </c>
      <c r="C229" s="34">
        <v>-20</v>
      </c>
      <c r="D229" s="34">
        <v>-12</v>
      </c>
      <c r="E229" s="34">
        <v>12</v>
      </c>
      <c r="F229" s="34">
        <v>7</v>
      </c>
      <c r="G229" s="35">
        <v>7.5516600000000001E-5</v>
      </c>
      <c r="H229" s="35">
        <v>1.1404800000000001E-13</v>
      </c>
      <c r="I229" s="34">
        <v>28</v>
      </c>
      <c r="J229" s="34" t="s">
        <v>29</v>
      </c>
      <c r="K229" s="35">
        <v>2.2658400000000001E-9</v>
      </c>
      <c r="L229" s="35">
        <v>-7.1570599999999997E-18</v>
      </c>
      <c r="M229" s="34">
        <v>7</v>
      </c>
      <c r="N229" s="34" t="s">
        <v>29</v>
      </c>
      <c r="O229">
        <f t="shared" si="3"/>
        <v>24</v>
      </c>
    </row>
    <row r="230" spans="1:15" x14ac:dyDescent="0.25">
      <c r="A230" s="34">
        <v>2</v>
      </c>
      <c r="B230" s="1">
        <v>28</v>
      </c>
      <c r="C230" s="34">
        <v>18</v>
      </c>
      <c r="D230" s="34">
        <v>-14</v>
      </c>
      <c r="E230" s="34">
        <v>10</v>
      </c>
      <c r="F230" s="34">
        <v>8</v>
      </c>
      <c r="G230" s="35">
        <v>5.6637400000000001E-5</v>
      </c>
      <c r="H230" s="35">
        <v>6.4148799999999998E-14</v>
      </c>
      <c r="I230" s="34">
        <v>28</v>
      </c>
      <c r="J230" s="34" t="s">
        <v>29</v>
      </c>
      <c r="K230" s="35">
        <v>1.70038E-10</v>
      </c>
      <c r="L230" s="35">
        <v>-7.15717E-18</v>
      </c>
      <c r="M230" s="34">
        <v>8</v>
      </c>
      <c r="N230" s="34" t="s">
        <v>29</v>
      </c>
      <c r="O230">
        <f t="shared" si="3"/>
        <v>24</v>
      </c>
    </row>
    <row r="231" spans="1:15" x14ac:dyDescent="0.25">
      <c r="A231" s="34">
        <v>2</v>
      </c>
      <c r="B231" s="1">
        <v>29</v>
      </c>
      <c r="C231" s="34">
        <v>65</v>
      </c>
      <c r="D231" s="34">
        <v>61</v>
      </c>
      <c r="E231" s="34">
        <v>64</v>
      </c>
      <c r="F231" s="34">
        <v>5</v>
      </c>
      <c r="G231" s="34">
        <v>62.748199999999997</v>
      </c>
      <c r="H231" s="34">
        <v>-0.92114799999999997</v>
      </c>
      <c r="I231" s="34">
        <v>24</v>
      </c>
      <c r="J231" s="34" t="s">
        <v>28</v>
      </c>
      <c r="K231" s="34">
        <v>62.748199999999997</v>
      </c>
      <c r="L231" s="34">
        <v>-0.92114799999999997</v>
      </c>
      <c r="M231" s="34">
        <v>20</v>
      </c>
      <c r="N231" s="34" t="s">
        <v>28</v>
      </c>
      <c r="O231">
        <f t="shared" si="3"/>
        <v>3</v>
      </c>
    </row>
    <row r="232" spans="1:15" x14ac:dyDescent="0.25">
      <c r="A232" s="34">
        <v>2</v>
      </c>
      <c r="B232" s="1">
        <v>30</v>
      </c>
      <c r="C232" s="34">
        <v>-6</v>
      </c>
      <c r="D232" s="34">
        <v>-2</v>
      </c>
      <c r="E232" s="34">
        <v>10</v>
      </c>
      <c r="F232" s="34">
        <v>6</v>
      </c>
      <c r="G232" s="35">
        <v>-6.59017E-5</v>
      </c>
      <c r="H232" s="35">
        <v>8.6853399999999997E-14</v>
      </c>
      <c r="I232" s="34">
        <v>26</v>
      </c>
      <c r="J232" s="34" t="s">
        <v>29</v>
      </c>
      <c r="K232" s="35">
        <v>1.8237599999999999E-12</v>
      </c>
      <c r="L232" s="35">
        <v>-7.15717E-18</v>
      </c>
      <c r="M232" s="34">
        <v>8</v>
      </c>
      <c r="N232" s="34" t="s">
        <v>29</v>
      </c>
      <c r="O232">
        <f t="shared" si="3"/>
        <v>12</v>
      </c>
    </row>
    <row r="233" spans="1:15" x14ac:dyDescent="0.25">
      <c r="A233" s="34">
        <v>2</v>
      </c>
      <c r="B233" s="1">
        <v>31</v>
      </c>
      <c r="C233" s="34">
        <v>-31</v>
      </c>
      <c r="D233" s="34">
        <v>-15</v>
      </c>
      <c r="E233" s="34">
        <v>33</v>
      </c>
      <c r="F233" s="34">
        <v>8</v>
      </c>
      <c r="G233" s="35">
        <v>-5.8339799999999998E-6</v>
      </c>
      <c r="H233" s="35">
        <v>6.7354899999999995E-16</v>
      </c>
      <c r="I233" s="34">
        <v>29</v>
      </c>
      <c r="J233" s="34" t="s">
        <v>29</v>
      </c>
      <c r="K233" s="35">
        <v>1.0899900000000001E-12</v>
      </c>
      <c r="L233" s="35">
        <v>-7.15717E-18</v>
      </c>
      <c r="M233" s="34">
        <v>12</v>
      </c>
      <c r="N233" s="34" t="s">
        <v>29</v>
      </c>
      <c r="O233">
        <f t="shared" si="3"/>
        <v>48</v>
      </c>
    </row>
    <row r="234" spans="1:15" x14ac:dyDescent="0.25">
      <c r="A234" s="34">
        <v>2</v>
      </c>
      <c r="B234" s="1">
        <v>32</v>
      </c>
      <c r="C234" s="34">
        <v>6</v>
      </c>
      <c r="D234" s="34">
        <v>-2</v>
      </c>
      <c r="E234" s="34">
        <v>4</v>
      </c>
      <c r="F234" s="34">
        <v>6</v>
      </c>
      <c r="G234" s="35">
        <v>1.33289E-5</v>
      </c>
      <c r="H234" s="35">
        <v>3.5460300000000002E-15</v>
      </c>
      <c r="I234" s="34">
        <v>25</v>
      </c>
      <c r="J234" s="34" t="s">
        <v>29</v>
      </c>
      <c r="K234" s="35">
        <v>3.2118399999999999E-13</v>
      </c>
      <c r="L234" s="35">
        <v>-7.15717E-18</v>
      </c>
      <c r="M234" s="34">
        <v>8</v>
      </c>
      <c r="N234" s="34" t="s">
        <v>29</v>
      </c>
      <c r="O234">
        <f t="shared" si="3"/>
        <v>6</v>
      </c>
    </row>
    <row r="235" spans="1:15" x14ac:dyDescent="0.25">
      <c r="A235" s="34">
        <v>2</v>
      </c>
      <c r="B235" s="1">
        <v>33</v>
      </c>
      <c r="C235" s="34">
        <v>-87</v>
      </c>
      <c r="D235" s="34">
        <v>-55</v>
      </c>
      <c r="E235" s="34">
        <v>41</v>
      </c>
      <c r="F235" s="34">
        <v>9</v>
      </c>
      <c r="G235" s="35">
        <v>-3.1940100000000003E-5</v>
      </c>
      <c r="H235" s="35">
        <v>2.0396300000000001E-14</v>
      </c>
      <c r="I235" s="34">
        <v>31</v>
      </c>
      <c r="J235" s="34" t="s">
        <v>29</v>
      </c>
      <c r="K235" s="35">
        <v>-1.5962000000000001E-6</v>
      </c>
      <c r="L235" s="35">
        <v>4.3799899999999998E-17</v>
      </c>
      <c r="M235" s="34">
        <v>48</v>
      </c>
      <c r="N235" s="34" t="s">
        <v>29</v>
      </c>
      <c r="O235">
        <f t="shared" si="3"/>
        <v>96</v>
      </c>
    </row>
    <row r="236" spans="1:15" x14ac:dyDescent="0.25">
      <c r="A236" s="34">
        <v>2</v>
      </c>
      <c r="B236" s="1">
        <v>34</v>
      </c>
      <c r="C236" s="34">
        <v>40</v>
      </c>
      <c r="D236" s="34">
        <v>-24</v>
      </c>
      <c r="E236" s="34">
        <v>24</v>
      </c>
      <c r="F236" s="34">
        <v>9</v>
      </c>
      <c r="G236" s="35">
        <v>-1.7911499999999999E-15</v>
      </c>
      <c r="H236" s="35">
        <v>-7.15717E-18</v>
      </c>
      <c r="I236" s="34">
        <v>29</v>
      </c>
      <c r="J236" s="34" t="s">
        <v>29</v>
      </c>
      <c r="K236" s="34">
        <v>-1.08546E-4</v>
      </c>
      <c r="L236" s="35">
        <v>2.3563600000000001E-13</v>
      </c>
      <c r="M236" s="34">
        <v>7</v>
      </c>
      <c r="N236" s="34" t="s">
        <v>29</v>
      </c>
      <c r="O236">
        <f t="shared" si="3"/>
        <v>48</v>
      </c>
    </row>
    <row r="237" spans="1:15" x14ac:dyDescent="0.25">
      <c r="A237" s="34">
        <v>2</v>
      </c>
      <c r="B237" s="1">
        <v>35</v>
      </c>
      <c r="C237" s="34">
        <v>-48</v>
      </c>
      <c r="D237" s="34">
        <v>-32</v>
      </c>
      <c r="E237" s="34">
        <v>16</v>
      </c>
      <c r="F237" s="34">
        <v>8</v>
      </c>
      <c r="G237" s="35">
        <v>-7.7786400000000005E-5</v>
      </c>
      <c r="H237" s="35">
        <v>1.2100699999999999E-13</v>
      </c>
      <c r="I237" s="34">
        <v>29</v>
      </c>
      <c r="J237" s="34" t="s">
        <v>29</v>
      </c>
      <c r="K237" s="35">
        <v>-4.5397199999999997E-9</v>
      </c>
      <c r="L237" s="35">
        <v>-7.1567500000000001E-18</v>
      </c>
      <c r="M237" s="34">
        <v>8</v>
      </c>
      <c r="N237" s="34" t="s">
        <v>29</v>
      </c>
      <c r="O237">
        <f t="shared" si="3"/>
        <v>48</v>
      </c>
    </row>
    <row r="238" spans="1:15" x14ac:dyDescent="0.25">
      <c r="A238" s="34">
        <v>2</v>
      </c>
      <c r="B238" s="1">
        <v>36</v>
      </c>
      <c r="C238" s="34">
        <v>-47</v>
      </c>
      <c r="D238" s="34">
        <v>-31</v>
      </c>
      <c r="E238" s="34">
        <v>17</v>
      </c>
      <c r="F238" s="34">
        <v>8</v>
      </c>
      <c r="G238" s="35">
        <v>-6.8063099999999996E-5</v>
      </c>
      <c r="H238" s="35">
        <v>9.26444E-14</v>
      </c>
      <c r="I238" s="34">
        <v>29</v>
      </c>
      <c r="J238" s="34" t="s">
        <v>29</v>
      </c>
      <c r="K238" s="35">
        <v>-4.1670899999999998E-8</v>
      </c>
      <c r="L238" s="35">
        <v>-7.1224400000000004E-18</v>
      </c>
      <c r="M238" s="34">
        <v>8</v>
      </c>
      <c r="N238" s="34" t="s">
        <v>29</v>
      </c>
      <c r="O238">
        <f t="shared" si="3"/>
        <v>48</v>
      </c>
    </row>
    <row r="239" spans="1:15" x14ac:dyDescent="0.25">
      <c r="A239" s="34">
        <v>2</v>
      </c>
      <c r="B239" s="1">
        <v>37</v>
      </c>
      <c r="C239" s="34">
        <v>95</v>
      </c>
      <c r="D239" s="34">
        <v>31</v>
      </c>
      <c r="E239" s="34">
        <v>79</v>
      </c>
      <c r="F239" s="34">
        <v>9</v>
      </c>
      <c r="G239" s="34">
        <v>62.748199999999997</v>
      </c>
      <c r="H239" s="34">
        <v>-0.92114799999999997</v>
      </c>
      <c r="I239" s="34">
        <v>29</v>
      </c>
      <c r="J239" s="34" t="s">
        <v>28</v>
      </c>
      <c r="K239" s="34">
        <v>53.3536</v>
      </c>
      <c r="L239" s="34">
        <v>-0.18067</v>
      </c>
      <c r="M239" s="34">
        <v>7</v>
      </c>
      <c r="N239" s="34" t="s">
        <v>29</v>
      </c>
      <c r="O239">
        <f t="shared" si="3"/>
        <v>48</v>
      </c>
    </row>
    <row r="240" spans="1:15" x14ac:dyDescent="0.25">
      <c r="A240" s="34">
        <v>2</v>
      </c>
      <c r="B240" s="1">
        <v>38</v>
      </c>
      <c r="C240" s="34">
        <v>-41</v>
      </c>
      <c r="D240" s="34">
        <v>-25</v>
      </c>
      <c r="E240" s="34">
        <v>23</v>
      </c>
      <c r="F240" s="34">
        <v>8</v>
      </c>
      <c r="G240" s="35">
        <v>-9.7232899999999999E-6</v>
      </c>
      <c r="H240" s="35">
        <v>1.88369E-15</v>
      </c>
      <c r="I240" s="34">
        <v>29</v>
      </c>
      <c r="J240" s="34" t="s">
        <v>29</v>
      </c>
      <c r="K240" s="35">
        <v>-2.11588E-10</v>
      </c>
      <c r="L240" s="35">
        <v>-7.1571600000000002E-18</v>
      </c>
      <c r="M240" s="34">
        <v>12</v>
      </c>
      <c r="N240" s="34" t="s">
        <v>29</v>
      </c>
      <c r="O240">
        <f t="shared" si="3"/>
        <v>48</v>
      </c>
    </row>
    <row r="241" spans="1:15" x14ac:dyDescent="0.25">
      <c r="A241" s="34">
        <v>2</v>
      </c>
      <c r="B241" s="1">
        <v>39</v>
      </c>
      <c r="C241" s="34">
        <v>98</v>
      </c>
      <c r="D241" s="34">
        <v>34</v>
      </c>
      <c r="E241" s="34">
        <v>82</v>
      </c>
      <c r="F241" s="34">
        <v>9</v>
      </c>
      <c r="G241" s="34">
        <v>62.748100000000001</v>
      </c>
      <c r="H241" s="34">
        <v>-0.92114799999999997</v>
      </c>
      <c r="I241" s="34">
        <v>29</v>
      </c>
      <c r="J241" s="34" t="s">
        <v>28</v>
      </c>
      <c r="K241" s="34">
        <v>56.998199999999997</v>
      </c>
      <c r="L241" s="34">
        <v>-0.528891</v>
      </c>
      <c r="M241" s="34">
        <v>7</v>
      </c>
      <c r="N241" s="34" t="s">
        <v>29</v>
      </c>
      <c r="O241">
        <f t="shared" si="3"/>
        <v>48</v>
      </c>
    </row>
    <row r="242" spans="1:15" x14ac:dyDescent="0.25">
      <c r="A242" s="34">
        <v>2</v>
      </c>
      <c r="B242" s="1">
        <v>40</v>
      </c>
      <c r="C242" s="34">
        <v>81</v>
      </c>
      <c r="D242" s="34">
        <v>49</v>
      </c>
      <c r="E242" s="34">
        <v>73</v>
      </c>
      <c r="F242" s="34">
        <v>8</v>
      </c>
      <c r="G242" s="34">
        <v>62.748100000000001</v>
      </c>
      <c r="H242" s="34">
        <v>-0.92114799999999997</v>
      </c>
      <c r="I242" s="34">
        <v>28</v>
      </c>
      <c r="J242" s="34" t="s">
        <v>28</v>
      </c>
      <c r="K242" s="34">
        <v>62.748199999999997</v>
      </c>
      <c r="L242" s="34">
        <v>-0.92114799999999997</v>
      </c>
      <c r="M242" s="34">
        <v>28</v>
      </c>
      <c r="N242" s="34" t="s">
        <v>28</v>
      </c>
      <c r="O242">
        <f t="shared" si="3"/>
        <v>24</v>
      </c>
    </row>
    <row r="243" spans="1:15" x14ac:dyDescent="0.25">
      <c r="A243" s="34">
        <v>2</v>
      </c>
      <c r="B243" s="1">
        <v>41</v>
      </c>
      <c r="C243" s="34">
        <v>57</v>
      </c>
      <c r="D243" s="34">
        <v>59</v>
      </c>
      <c r="E243" s="34">
        <v>65</v>
      </c>
      <c r="F243" s="34">
        <v>5</v>
      </c>
      <c r="G243" s="34">
        <v>62.748199999999997</v>
      </c>
      <c r="H243" s="34">
        <v>-0.92114799999999997</v>
      </c>
      <c r="I243" s="34">
        <v>25</v>
      </c>
      <c r="J243" s="34" t="s">
        <v>28</v>
      </c>
      <c r="K243" s="34">
        <v>62.748199999999997</v>
      </c>
      <c r="L243" s="34">
        <v>-0.92114799999999997</v>
      </c>
      <c r="M243" s="34">
        <v>20</v>
      </c>
      <c r="N243" s="34" t="s">
        <v>28</v>
      </c>
      <c r="O243">
        <f t="shared" si="3"/>
        <v>6</v>
      </c>
    </row>
    <row r="244" spans="1:15" x14ac:dyDescent="0.25">
      <c r="A244" s="34">
        <v>2</v>
      </c>
      <c r="B244" s="1">
        <v>42</v>
      </c>
      <c r="C244" s="34">
        <v>-37</v>
      </c>
      <c r="D244" s="34">
        <v>-21</v>
      </c>
      <c r="E244" s="34">
        <v>27</v>
      </c>
      <c r="F244" s="34">
        <v>8</v>
      </c>
      <c r="G244" s="35">
        <v>2.91699E-5</v>
      </c>
      <c r="H244" s="35">
        <v>1.70105E-14</v>
      </c>
      <c r="I244" s="34">
        <v>29</v>
      </c>
      <c r="J244" s="34" t="s">
        <v>29</v>
      </c>
      <c r="K244" s="35">
        <v>2.2533599999999999E-13</v>
      </c>
      <c r="L244" s="35">
        <v>-7.15717E-18</v>
      </c>
      <c r="M244" s="34">
        <v>12</v>
      </c>
      <c r="N244" s="34" t="s">
        <v>29</v>
      </c>
      <c r="O244">
        <f t="shared" si="3"/>
        <v>48</v>
      </c>
    </row>
    <row r="245" spans="1:15" x14ac:dyDescent="0.25">
      <c r="A245" s="34">
        <v>2</v>
      </c>
      <c r="B245" s="1">
        <v>43</v>
      </c>
      <c r="C245" s="34">
        <v>-48</v>
      </c>
      <c r="D245" s="34">
        <v>-32</v>
      </c>
      <c r="E245" s="34">
        <v>16</v>
      </c>
      <c r="F245" s="34">
        <v>8</v>
      </c>
      <c r="G245" s="35">
        <v>-7.7786400000000005E-5</v>
      </c>
      <c r="H245" s="35">
        <v>1.2100699999999999E-13</v>
      </c>
      <c r="I245" s="34">
        <v>29</v>
      </c>
      <c r="J245" s="34" t="s">
        <v>29</v>
      </c>
      <c r="K245" s="35">
        <v>-4.5397199999999997E-9</v>
      </c>
      <c r="L245" s="35">
        <v>-7.1567500000000001E-18</v>
      </c>
      <c r="M245" s="34">
        <v>8</v>
      </c>
      <c r="N245" s="34" t="s">
        <v>29</v>
      </c>
      <c r="O245">
        <f t="shared" si="3"/>
        <v>48</v>
      </c>
    </row>
    <row r="246" spans="1:15" x14ac:dyDescent="0.25">
      <c r="A246" s="34">
        <v>2</v>
      </c>
      <c r="B246" s="1">
        <v>44</v>
      </c>
      <c r="C246" s="34">
        <v>57</v>
      </c>
      <c r="D246" s="34">
        <v>59</v>
      </c>
      <c r="E246" s="34">
        <v>65</v>
      </c>
      <c r="F246" s="34">
        <v>5</v>
      </c>
      <c r="G246" s="34">
        <v>62.748199999999997</v>
      </c>
      <c r="H246" s="34">
        <v>-0.92114799999999997</v>
      </c>
      <c r="I246" s="34">
        <v>25</v>
      </c>
      <c r="J246" s="34" t="s">
        <v>28</v>
      </c>
      <c r="K246" s="34">
        <v>62.748199999999997</v>
      </c>
      <c r="L246" s="34">
        <v>-0.92114799999999997</v>
      </c>
      <c r="M246" s="34">
        <v>20</v>
      </c>
      <c r="N246" s="34" t="s">
        <v>28</v>
      </c>
      <c r="O246">
        <f t="shared" si="3"/>
        <v>6</v>
      </c>
    </row>
    <row r="247" spans="1:15" x14ac:dyDescent="0.25">
      <c r="A247" s="34">
        <v>2</v>
      </c>
      <c r="B247" s="1">
        <v>45</v>
      </c>
      <c r="C247" s="34">
        <v>45</v>
      </c>
      <c r="D247" s="34">
        <v>53</v>
      </c>
      <c r="E247" s="34">
        <v>77</v>
      </c>
      <c r="F247" s="34">
        <v>7</v>
      </c>
      <c r="G247" s="34">
        <v>62.748199999999997</v>
      </c>
      <c r="H247" s="34">
        <v>-0.92114799999999997</v>
      </c>
      <c r="I247" s="34">
        <v>28</v>
      </c>
      <c r="J247" s="34" t="s">
        <v>28</v>
      </c>
      <c r="K247" s="34">
        <v>62.748899999999999</v>
      </c>
      <c r="L247" s="34">
        <v>-0.92114799999999997</v>
      </c>
      <c r="M247" s="34">
        <v>23</v>
      </c>
      <c r="N247" s="34" t="s">
        <v>28</v>
      </c>
      <c r="O247">
        <f t="shared" si="3"/>
        <v>24</v>
      </c>
    </row>
    <row r="248" spans="1:15" x14ac:dyDescent="0.25">
      <c r="A248" s="34">
        <v>2</v>
      </c>
      <c r="B248" s="1">
        <v>46</v>
      </c>
      <c r="C248" s="34">
        <v>26</v>
      </c>
      <c r="D248" s="34">
        <v>-38</v>
      </c>
      <c r="E248" s="34">
        <v>10</v>
      </c>
      <c r="F248" s="34">
        <v>9</v>
      </c>
      <c r="G248" s="35">
        <v>5.0561099999999999E-5</v>
      </c>
      <c r="H248" s="35">
        <v>5.1121400000000001E-14</v>
      </c>
      <c r="I248" s="34">
        <v>29</v>
      </c>
      <c r="J248" s="34" t="s">
        <v>29</v>
      </c>
      <c r="K248" s="35">
        <v>5.9489699999999996E-10</v>
      </c>
      <c r="L248" s="35">
        <v>-7.1571600000000002E-18</v>
      </c>
      <c r="M248" s="34">
        <v>8</v>
      </c>
      <c r="N248" s="34" t="s">
        <v>29</v>
      </c>
      <c r="O248">
        <f t="shared" si="3"/>
        <v>48</v>
      </c>
    </row>
    <row r="249" spans="1:15" x14ac:dyDescent="0.25">
      <c r="A249" s="34">
        <v>2</v>
      </c>
      <c r="B249" s="1">
        <v>47</v>
      </c>
      <c r="C249" s="34">
        <v>49</v>
      </c>
      <c r="D249" s="34">
        <v>57</v>
      </c>
      <c r="E249" s="34">
        <v>81</v>
      </c>
      <c r="F249" s="34">
        <v>7</v>
      </c>
      <c r="G249" s="34">
        <v>62.748100000000001</v>
      </c>
      <c r="H249" s="34">
        <v>-0.92114799999999997</v>
      </c>
      <c r="I249" s="34">
        <v>28</v>
      </c>
      <c r="J249" s="34" t="s">
        <v>28</v>
      </c>
      <c r="K249" s="34">
        <v>62.877200000000002</v>
      </c>
      <c r="L249" s="34">
        <v>-0.92089799999999999</v>
      </c>
      <c r="M249" s="34">
        <v>15</v>
      </c>
      <c r="N249" s="34" t="s">
        <v>28</v>
      </c>
      <c r="O249">
        <f t="shared" si="3"/>
        <v>24</v>
      </c>
    </row>
    <row r="250" spans="1:15" x14ac:dyDescent="0.25">
      <c r="A250" s="34">
        <v>2</v>
      </c>
      <c r="B250" s="1">
        <v>48</v>
      </c>
      <c r="C250" s="34">
        <v>-72</v>
      </c>
      <c r="D250" s="34">
        <v>-8</v>
      </c>
      <c r="E250" s="34">
        <v>184</v>
      </c>
      <c r="F250" s="34">
        <v>10</v>
      </c>
      <c r="G250" s="34">
        <v>62.748199999999997</v>
      </c>
      <c r="H250" s="34">
        <v>-0.92114799999999997</v>
      </c>
      <c r="I250" s="34">
        <v>32</v>
      </c>
      <c r="J250" s="34" t="s">
        <v>28</v>
      </c>
      <c r="K250" s="35">
        <v>-7.8604200000000004E-8</v>
      </c>
      <c r="L250" s="35">
        <v>-7.0335899999999996E-18</v>
      </c>
      <c r="M250" s="34">
        <v>28</v>
      </c>
      <c r="N250" s="34" t="s">
        <v>29</v>
      </c>
      <c r="O250">
        <f t="shared" si="3"/>
        <v>192</v>
      </c>
    </row>
    <row r="251" spans="1:15" x14ac:dyDescent="0.25">
      <c r="A251" s="34">
        <v>2</v>
      </c>
      <c r="B251" s="1">
        <v>49</v>
      </c>
      <c r="C251" s="34">
        <v>-31</v>
      </c>
      <c r="D251" s="34">
        <v>-15</v>
      </c>
      <c r="E251" s="34">
        <v>33</v>
      </c>
      <c r="F251" s="34">
        <v>8</v>
      </c>
      <c r="G251" s="35">
        <v>-5.8339799999999998E-6</v>
      </c>
      <c r="H251" s="35">
        <v>6.7354899999999995E-16</v>
      </c>
      <c r="I251" s="34">
        <v>29</v>
      </c>
      <c r="J251" s="34" t="s">
        <v>29</v>
      </c>
      <c r="K251" s="35">
        <v>1.0899900000000001E-12</v>
      </c>
      <c r="L251" s="35">
        <v>-7.15717E-18</v>
      </c>
      <c r="M251" s="34">
        <v>12</v>
      </c>
      <c r="N251" s="34" t="s">
        <v>29</v>
      </c>
      <c r="O251">
        <f t="shared" si="3"/>
        <v>48</v>
      </c>
    </row>
    <row r="252" spans="1:15" x14ac:dyDescent="0.25">
      <c r="A252" s="34">
        <v>2</v>
      </c>
      <c r="B252" s="1">
        <v>50</v>
      </c>
      <c r="C252" s="34">
        <v>-73</v>
      </c>
      <c r="D252" s="34">
        <v>-9</v>
      </c>
      <c r="E252" s="34">
        <v>183</v>
      </c>
      <c r="F252" s="34">
        <v>10</v>
      </c>
      <c r="G252" s="34">
        <v>62.748100000000001</v>
      </c>
      <c r="H252" s="34">
        <v>-0.92114799999999997</v>
      </c>
      <c r="I252" s="34">
        <v>32</v>
      </c>
      <c r="J252" s="34" t="s">
        <v>28</v>
      </c>
      <c r="K252" s="35">
        <v>-4.40891E-7</v>
      </c>
      <c r="L252" s="35">
        <v>-3.2694699999999998E-18</v>
      </c>
      <c r="M252" s="34">
        <v>28</v>
      </c>
      <c r="N252" s="34" t="s">
        <v>29</v>
      </c>
      <c r="O252">
        <f t="shared" si="3"/>
        <v>192</v>
      </c>
    </row>
    <row r="253" spans="1:15" x14ac:dyDescent="0.25">
      <c r="A253" s="34">
        <v>2</v>
      </c>
      <c r="B253" s="1">
        <v>51</v>
      </c>
      <c r="C253" s="34">
        <v>-81</v>
      </c>
      <c r="D253" s="34">
        <v>-49</v>
      </c>
      <c r="E253" s="34">
        <v>47</v>
      </c>
      <c r="F253" s="34">
        <v>9</v>
      </c>
      <c r="G253" s="35">
        <v>2.59978E-5</v>
      </c>
      <c r="H253" s="35">
        <v>1.3510500000000001E-14</v>
      </c>
      <c r="I253" s="34">
        <v>31</v>
      </c>
      <c r="J253" s="34" t="s">
        <v>29</v>
      </c>
      <c r="K253" s="35">
        <v>-4.47893E-7</v>
      </c>
      <c r="L253" s="35">
        <v>-3.1449900000000001E-18</v>
      </c>
      <c r="M253" s="34">
        <v>28</v>
      </c>
      <c r="N253" s="34" t="s">
        <v>29</v>
      </c>
      <c r="O253">
        <f t="shared" si="3"/>
        <v>96</v>
      </c>
    </row>
    <row r="254" spans="1:15" x14ac:dyDescent="0.25">
      <c r="A254" s="34">
        <v>2</v>
      </c>
      <c r="B254" s="1">
        <v>52</v>
      </c>
      <c r="C254" s="34">
        <v>-60</v>
      </c>
      <c r="D254" s="34">
        <v>4</v>
      </c>
      <c r="E254" s="34">
        <v>196</v>
      </c>
      <c r="F254" s="34">
        <v>10</v>
      </c>
      <c r="G254" s="34">
        <v>62.748100000000001</v>
      </c>
      <c r="H254" s="34">
        <v>-0.92114799999999997</v>
      </c>
      <c r="I254" s="34">
        <v>32</v>
      </c>
      <c r="J254" s="34" t="s">
        <v>28</v>
      </c>
      <c r="K254" s="34">
        <v>4</v>
      </c>
      <c r="L254" s="34">
        <v>3.2000000000000003E-4</v>
      </c>
      <c r="M254" s="34">
        <v>8</v>
      </c>
      <c r="N254" s="34" t="s">
        <v>29</v>
      </c>
      <c r="O254">
        <f t="shared" si="3"/>
        <v>192</v>
      </c>
    </row>
    <row r="255" spans="1:15" x14ac:dyDescent="0.25">
      <c r="A255" s="34">
        <v>2</v>
      </c>
      <c r="B255" s="1">
        <v>53</v>
      </c>
      <c r="C255" s="34">
        <v>-96</v>
      </c>
      <c r="D255" s="34">
        <v>-64</v>
      </c>
      <c r="E255" s="34">
        <v>32</v>
      </c>
      <c r="F255" s="34">
        <v>9</v>
      </c>
      <c r="G255" s="35">
        <v>-1.18847E-5</v>
      </c>
      <c r="H255" s="35">
        <v>2.8177599999999999E-15</v>
      </c>
      <c r="I255" s="34">
        <v>31</v>
      </c>
      <c r="J255" s="34" t="s">
        <v>29</v>
      </c>
      <c r="K255" s="35">
        <v>-6.3737499999999997E-8</v>
      </c>
      <c r="L255" s="35">
        <v>-7.0759200000000005E-18</v>
      </c>
      <c r="M255" s="34">
        <v>24</v>
      </c>
      <c r="N255" s="34" t="s">
        <v>29</v>
      </c>
      <c r="O255">
        <f t="shared" si="3"/>
        <v>96</v>
      </c>
    </row>
    <row r="256" spans="1:15" x14ac:dyDescent="0.25">
      <c r="A256" s="34">
        <v>2</v>
      </c>
      <c r="B256" s="1">
        <v>54</v>
      </c>
      <c r="C256" s="34">
        <v>85</v>
      </c>
      <c r="D256" s="34">
        <v>53</v>
      </c>
      <c r="E256" s="34">
        <v>77</v>
      </c>
      <c r="F256" s="34">
        <v>8</v>
      </c>
      <c r="G256" s="34">
        <v>62.748199999999997</v>
      </c>
      <c r="H256" s="34">
        <v>-0.92114799999999997</v>
      </c>
      <c r="I256" s="34">
        <v>28</v>
      </c>
      <c r="J256" s="34" t="s">
        <v>28</v>
      </c>
      <c r="K256" s="34">
        <v>62.748899999999999</v>
      </c>
      <c r="L256" s="34">
        <v>-0.92114799999999997</v>
      </c>
      <c r="M256" s="34">
        <v>23</v>
      </c>
      <c r="N256" s="34" t="s">
        <v>28</v>
      </c>
      <c r="O256">
        <f t="shared" si="3"/>
        <v>24</v>
      </c>
    </row>
    <row r="257" spans="1:15" x14ac:dyDescent="0.25">
      <c r="A257" s="34">
        <v>2</v>
      </c>
      <c r="B257" s="1">
        <v>55</v>
      </c>
      <c r="C257" s="34">
        <v>31</v>
      </c>
      <c r="D257" s="34">
        <v>-33</v>
      </c>
      <c r="E257" s="34">
        <v>15</v>
      </c>
      <c r="F257" s="34">
        <v>9</v>
      </c>
      <c r="G257" s="35">
        <v>-8.75097E-5</v>
      </c>
      <c r="H257" s="35">
        <v>1.53152E-13</v>
      </c>
      <c r="I257" s="34">
        <v>29</v>
      </c>
      <c r="J257" s="34" t="s">
        <v>29</v>
      </c>
      <c r="K257" s="35">
        <v>5.1211200000000002E-9</v>
      </c>
      <c r="L257" s="35">
        <v>-7.1566399999999998E-18</v>
      </c>
      <c r="M257" s="34">
        <v>8</v>
      </c>
      <c r="N257" s="34" t="s">
        <v>29</v>
      </c>
      <c r="O257">
        <f t="shared" si="3"/>
        <v>48</v>
      </c>
    </row>
    <row r="258" spans="1:15" x14ac:dyDescent="0.25">
      <c r="A258" s="34">
        <v>2</v>
      </c>
      <c r="B258" s="1">
        <v>56</v>
      </c>
      <c r="C258" s="34">
        <v>27</v>
      </c>
      <c r="D258" s="34">
        <v>-37</v>
      </c>
      <c r="E258" s="34">
        <v>11</v>
      </c>
      <c r="F258" s="34">
        <v>9</v>
      </c>
      <c r="G258" s="35">
        <v>6.0284400000000002E-5</v>
      </c>
      <c r="H258" s="35">
        <v>7.2677100000000004E-14</v>
      </c>
      <c r="I258" s="34">
        <v>29</v>
      </c>
      <c r="J258" s="34" t="s">
        <v>29</v>
      </c>
      <c r="K258" s="35">
        <v>1.2007399999999999E-9</v>
      </c>
      <c r="L258" s="35">
        <v>-7.1571400000000007E-18</v>
      </c>
      <c r="M258" s="34">
        <v>8</v>
      </c>
      <c r="N258" s="34" t="s">
        <v>29</v>
      </c>
      <c r="O258">
        <f t="shared" si="3"/>
        <v>48</v>
      </c>
    </row>
    <row r="259" spans="1:15" x14ac:dyDescent="0.25">
      <c r="A259" s="34">
        <v>2</v>
      </c>
      <c r="B259" s="1">
        <v>57</v>
      </c>
      <c r="C259" s="34">
        <v>38</v>
      </c>
      <c r="D259" s="34">
        <v>-26</v>
      </c>
      <c r="E259" s="34">
        <v>22</v>
      </c>
      <c r="F259" s="34">
        <v>9</v>
      </c>
      <c r="G259" s="35">
        <v>7.3897000000000001E-5</v>
      </c>
      <c r="H259" s="35">
        <v>1.09208E-13</v>
      </c>
      <c r="I259" s="34">
        <v>29</v>
      </c>
      <c r="J259" s="34" t="s">
        <v>29</v>
      </c>
      <c r="K259" s="35">
        <v>-4.1238800000000003E-11</v>
      </c>
      <c r="L259" s="35">
        <v>-7.15717E-18</v>
      </c>
      <c r="M259" s="34">
        <v>12</v>
      </c>
      <c r="N259" s="34" t="s">
        <v>29</v>
      </c>
      <c r="O259">
        <f t="shared" si="3"/>
        <v>48</v>
      </c>
    </row>
    <row r="260" spans="1:15" x14ac:dyDescent="0.25">
      <c r="A260" s="34">
        <v>2</v>
      </c>
      <c r="B260" s="1">
        <v>58</v>
      </c>
      <c r="C260" s="34">
        <v>63</v>
      </c>
      <c r="D260" s="34">
        <v>62</v>
      </c>
      <c r="E260" s="34">
        <v>64</v>
      </c>
      <c r="F260" s="34">
        <v>3</v>
      </c>
      <c r="G260" s="34">
        <v>62.748100000000001</v>
      </c>
      <c r="H260" s="34">
        <v>-0.92114799999999997</v>
      </c>
      <c r="I260" s="34">
        <v>23</v>
      </c>
      <c r="J260" s="34" t="s">
        <v>28</v>
      </c>
      <c r="K260" s="34">
        <v>62.747599999999998</v>
      </c>
      <c r="L260" s="34">
        <v>-0.92114799999999997</v>
      </c>
      <c r="M260" s="34">
        <v>11</v>
      </c>
      <c r="N260" s="34" t="s">
        <v>28</v>
      </c>
      <c r="O260">
        <f t="shared" ref="O260:O303" si="4">E260-D260</f>
        <v>2</v>
      </c>
    </row>
    <row r="261" spans="1:15" x14ac:dyDescent="0.25">
      <c r="A261" s="34">
        <v>2</v>
      </c>
      <c r="B261" s="1">
        <v>59</v>
      </c>
      <c r="C261" s="34">
        <v>-55</v>
      </c>
      <c r="D261" s="34">
        <v>9</v>
      </c>
      <c r="E261" s="34">
        <v>201</v>
      </c>
      <c r="F261" s="34">
        <v>10</v>
      </c>
      <c r="G261" s="34">
        <v>62.748100000000001</v>
      </c>
      <c r="H261" s="34">
        <v>-0.92114799999999997</v>
      </c>
      <c r="I261" s="34">
        <v>32</v>
      </c>
      <c r="J261" s="34" t="s">
        <v>28</v>
      </c>
      <c r="K261" s="34">
        <v>9</v>
      </c>
      <c r="L261" s="34">
        <v>1.6199999999999999E-3</v>
      </c>
      <c r="M261" s="34">
        <v>8</v>
      </c>
      <c r="N261" s="34" t="s">
        <v>29</v>
      </c>
      <c r="O261">
        <f t="shared" si="4"/>
        <v>192</v>
      </c>
    </row>
    <row r="262" spans="1:15" x14ac:dyDescent="0.25">
      <c r="A262" s="34">
        <v>2</v>
      </c>
      <c r="B262" s="1">
        <v>60</v>
      </c>
      <c r="C262" s="34">
        <v>-45</v>
      </c>
      <c r="D262" s="34">
        <v>-29</v>
      </c>
      <c r="E262" s="34">
        <v>19</v>
      </c>
      <c r="F262" s="34">
        <v>8</v>
      </c>
      <c r="G262" s="35">
        <v>-4.8616499999999998E-5</v>
      </c>
      <c r="H262" s="35">
        <v>4.7264099999999999E-14</v>
      </c>
      <c r="I262" s="34">
        <v>29</v>
      </c>
      <c r="J262" s="34" t="s">
        <v>29</v>
      </c>
      <c r="K262" s="35">
        <v>-4.0154599999999999E-7</v>
      </c>
      <c r="L262" s="35">
        <v>-3.9323799999999997E-18</v>
      </c>
      <c r="M262" s="34">
        <v>8</v>
      </c>
      <c r="N262" s="34" t="s">
        <v>29</v>
      </c>
      <c r="O262">
        <f t="shared" si="4"/>
        <v>48</v>
      </c>
    </row>
    <row r="263" spans="1:15" x14ac:dyDescent="0.25">
      <c r="A263" s="34">
        <v>2</v>
      </c>
      <c r="B263" s="1">
        <v>61</v>
      </c>
      <c r="C263" s="34">
        <v>-90</v>
      </c>
      <c r="D263" s="34">
        <v>-58</v>
      </c>
      <c r="E263" s="34">
        <v>38</v>
      </c>
      <c r="F263" s="34">
        <v>9</v>
      </c>
      <c r="G263" s="35">
        <v>-2.5255000000000001E-5</v>
      </c>
      <c r="H263" s="35">
        <v>1.27491E-14</v>
      </c>
      <c r="I263" s="34">
        <v>31</v>
      </c>
      <c r="J263" s="34" t="s">
        <v>29</v>
      </c>
      <c r="K263" s="35">
        <v>-9.0028700000000005E-7</v>
      </c>
      <c r="L263" s="35">
        <v>9.0531900000000007E-18</v>
      </c>
      <c r="M263" s="34">
        <v>36</v>
      </c>
      <c r="N263" s="34" t="s">
        <v>29</v>
      </c>
      <c r="O263">
        <f t="shared" si="4"/>
        <v>96</v>
      </c>
    </row>
    <row r="264" spans="1:15" x14ac:dyDescent="0.25">
      <c r="A264" s="34">
        <v>2</v>
      </c>
      <c r="B264" s="1">
        <v>62</v>
      </c>
      <c r="C264" s="34">
        <v>14</v>
      </c>
      <c r="D264" s="34">
        <v>-18</v>
      </c>
      <c r="E264" s="34">
        <v>6</v>
      </c>
      <c r="F264" s="34">
        <v>8</v>
      </c>
      <c r="G264" s="35">
        <v>-5.6637400000000001E-5</v>
      </c>
      <c r="H264" s="35">
        <v>6.4148799999999998E-14</v>
      </c>
      <c r="I264" s="34">
        <v>28</v>
      </c>
      <c r="J264" s="34" t="s">
        <v>29</v>
      </c>
      <c r="K264" s="35">
        <v>1.6154400000000001E-11</v>
      </c>
      <c r="L264" s="35">
        <v>-7.15717E-18</v>
      </c>
      <c r="M264" s="34">
        <v>8</v>
      </c>
      <c r="N264" s="34" t="s">
        <v>29</v>
      </c>
      <c r="O264">
        <f t="shared" si="4"/>
        <v>24</v>
      </c>
    </row>
    <row r="265" spans="1:15" x14ac:dyDescent="0.25">
      <c r="A265" s="34">
        <v>2</v>
      </c>
      <c r="B265" s="1">
        <v>63</v>
      </c>
      <c r="C265" s="34">
        <v>62</v>
      </c>
      <c r="D265" s="34">
        <v>62</v>
      </c>
      <c r="E265" s="34">
        <v>64</v>
      </c>
      <c r="F265" s="34">
        <v>3</v>
      </c>
      <c r="G265" s="34">
        <v>62.748100000000001</v>
      </c>
      <c r="H265" s="34">
        <v>-0.92114799999999997</v>
      </c>
      <c r="I265" s="34">
        <v>23</v>
      </c>
      <c r="J265" s="34" t="s">
        <v>28</v>
      </c>
      <c r="K265" s="34">
        <v>62.747599999999998</v>
      </c>
      <c r="L265" s="34">
        <v>-0.92114799999999997</v>
      </c>
      <c r="M265" s="34">
        <v>11</v>
      </c>
      <c r="N265" s="34" t="s">
        <v>28</v>
      </c>
      <c r="O265">
        <f t="shared" si="4"/>
        <v>2</v>
      </c>
    </row>
    <row r="266" spans="1:15" x14ac:dyDescent="0.25">
      <c r="A266" s="34">
        <v>2</v>
      </c>
      <c r="B266" s="1">
        <v>64</v>
      </c>
      <c r="C266" s="34">
        <v>75</v>
      </c>
      <c r="D266" s="34">
        <v>43</v>
      </c>
      <c r="E266" s="34">
        <v>67</v>
      </c>
      <c r="F266" s="34">
        <v>8</v>
      </c>
      <c r="G266" s="34">
        <v>62.748199999999997</v>
      </c>
      <c r="H266" s="34">
        <v>-0.92114799999999997</v>
      </c>
      <c r="I266" s="34">
        <v>28</v>
      </c>
      <c r="J266" s="34" t="s">
        <v>28</v>
      </c>
      <c r="K266" s="34">
        <v>62.339700000000001</v>
      </c>
      <c r="L266" s="34">
        <v>-0.91864800000000002</v>
      </c>
      <c r="M266" s="34">
        <v>15</v>
      </c>
      <c r="N266" s="34" t="s">
        <v>29</v>
      </c>
      <c r="O266">
        <f t="shared" si="4"/>
        <v>24</v>
      </c>
    </row>
    <row r="267" spans="1:15" x14ac:dyDescent="0.25">
      <c r="A267" s="34">
        <v>2</v>
      </c>
      <c r="B267" s="1">
        <v>65</v>
      </c>
      <c r="C267" s="34">
        <v>-46</v>
      </c>
      <c r="D267" s="34">
        <v>-30</v>
      </c>
      <c r="E267" s="34">
        <v>18</v>
      </c>
      <c r="F267" s="34">
        <v>8</v>
      </c>
      <c r="G267" s="35">
        <v>-5.83398E-5</v>
      </c>
      <c r="H267" s="35">
        <v>6.8063399999999996E-14</v>
      </c>
      <c r="I267" s="34">
        <v>29</v>
      </c>
      <c r="J267" s="34" t="s">
        <v>29</v>
      </c>
      <c r="K267" s="35">
        <v>-1.4728400000000001E-7</v>
      </c>
      <c r="L267" s="35">
        <v>-6.72331E-18</v>
      </c>
      <c r="M267" s="34">
        <v>8</v>
      </c>
      <c r="N267" s="34" t="s">
        <v>29</v>
      </c>
      <c r="O267">
        <f t="shared" si="4"/>
        <v>48</v>
      </c>
    </row>
    <row r="268" spans="1:15" x14ac:dyDescent="0.25">
      <c r="A268" s="34">
        <v>2</v>
      </c>
      <c r="B268" s="1">
        <v>66</v>
      </c>
      <c r="C268" s="34">
        <v>66</v>
      </c>
      <c r="D268" s="34">
        <v>58</v>
      </c>
      <c r="E268" s="34">
        <v>64</v>
      </c>
      <c r="F268" s="34">
        <v>6</v>
      </c>
      <c r="G268" s="34">
        <v>62.748100000000001</v>
      </c>
      <c r="H268" s="34">
        <v>-0.92114799999999997</v>
      </c>
      <c r="I268" s="34">
        <v>25</v>
      </c>
      <c r="J268" s="34" t="s">
        <v>28</v>
      </c>
      <c r="K268" s="34">
        <v>62.748199999999997</v>
      </c>
      <c r="L268" s="34">
        <v>-0.92114799999999997</v>
      </c>
      <c r="M268" s="34">
        <v>20</v>
      </c>
      <c r="N268" s="34" t="s">
        <v>28</v>
      </c>
      <c r="O268">
        <f t="shared" si="4"/>
        <v>6</v>
      </c>
    </row>
    <row r="269" spans="1:15" x14ac:dyDescent="0.25">
      <c r="A269" s="34">
        <v>2</v>
      </c>
      <c r="B269" s="1">
        <v>67</v>
      </c>
      <c r="C269" s="34">
        <v>-72</v>
      </c>
      <c r="D269" s="34">
        <v>-8</v>
      </c>
      <c r="E269" s="34">
        <v>184</v>
      </c>
      <c r="F269" s="34">
        <v>10</v>
      </c>
      <c r="G269" s="34">
        <v>62.748199999999997</v>
      </c>
      <c r="H269" s="34">
        <v>-0.92114799999999997</v>
      </c>
      <c r="I269" s="34">
        <v>32</v>
      </c>
      <c r="J269" s="34" t="s">
        <v>28</v>
      </c>
      <c r="K269" s="35">
        <v>-7.8604200000000004E-8</v>
      </c>
      <c r="L269" s="35">
        <v>-7.0335899999999996E-18</v>
      </c>
      <c r="M269" s="34">
        <v>28</v>
      </c>
      <c r="N269" s="34" t="s">
        <v>29</v>
      </c>
      <c r="O269">
        <f t="shared" si="4"/>
        <v>192</v>
      </c>
    </row>
    <row r="270" spans="1:15" x14ac:dyDescent="0.25">
      <c r="A270" s="34">
        <v>2</v>
      </c>
      <c r="B270" s="1">
        <v>68</v>
      </c>
      <c r="C270" s="34">
        <v>-98</v>
      </c>
      <c r="D270" s="34">
        <v>-34</v>
      </c>
      <c r="E270" s="34">
        <v>158</v>
      </c>
      <c r="F270" s="34">
        <v>10</v>
      </c>
      <c r="G270" s="35">
        <v>-6.3351900000000006E-5</v>
      </c>
      <c r="H270" s="35">
        <v>8.0262100000000004E-14</v>
      </c>
      <c r="I270" s="34">
        <v>32</v>
      </c>
      <c r="J270" s="34" t="s">
        <v>29</v>
      </c>
      <c r="K270" s="34">
        <v>52.265799999999999</v>
      </c>
      <c r="L270" s="34">
        <v>-0.106417</v>
      </c>
      <c r="M270" s="34">
        <v>7</v>
      </c>
      <c r="N270" s="34" t="s">
        <v>29</v>
      </c>
      <c r="O270">
        <f t="shared" si="4"/>
        <v>192</v>
      </c>
    </row>
    <row r="271" spans="1:15" x14ac:dyDescent="0.25">
      <c r="A271" s="34">
        <v>2</v>
      </c>
      <c r="B271" s="1">
        <v>69</v>
      </c>
      <c r="C271" s="34">
        <v>-75</v>
      </c>
      <c r="D271" s="34">
        <v>-11</v>
      </c>
      <c r="E271" s="34">
        <v>181</v>
      </c>
      <c r="F271" s="34">
        <v>10</v>
      </c>
      <c r="G271" s="34">
        <v>62.748199999999997</v>
      </c>
      <c r="H271" s="34">
        <v>-0.92114799999999997</v>
      </c>
      <c r="I271" s="34">
        <v>32</v>
      </c>
      <c r="J271" s="34" t="s">
        <v>28</v>
      </c>
      <c r="K271" s="35">
        <v>-8.9973000000000002E-7</v>
      </c>
      <c r="L271" s="35">
        <v>9.0331299999999993E-18</v>
      </c>
      <c r="M271" s="34">
        <v>32</v>
      </c>
      <c r="N271" s="34" t="s">
        <v>29</v>
      </c>
      <c r="O271">
        <f t="shared" si="4"/>
        <v>192</v>
      </c>
    </row>
    <row r="272" spans="1:15" x14ac:dyDescent="0.25">
      <c r="A272" s="34">
        <v>2</v>
      </c>
      <c r="B272" s="1">
        <v>70</v>
      </c>
      <c r="C272" s="34">
        <v>-73</v>
      </c>
      <c r="D272" s="34">
        <v>-9</v>
      </c>
      <c r="E272" s="34">
        <v>183</v>
      </c>
      <c r="F272" s="34">
        <v>10</v>
      </c>
      <c r="G272" s="34">
        <v>62.748100000000001</v>
      </c>
      <c r="H272" s="34">
        <v>-0.92114799999999997</v>
      </c>
      <c r="I272" s="34">
        <v>32</v>
      </c>
      <c r="J272" s="34" t="s">
        <v>28</v>
      </c>
      <c r="K272" s="35">
        <v>-4.40891E-7</v>
      </c>
      <c r="L272" s="35">
        <v>-3.2694699999999998E-18</v>
      </c>
      <c r="M272" s="34">
        <v>28</v>
      </c>
      <c r="N272" s="34" t="s">
        <v>29</v>
      </c>
      <c r="O272">
        <f t="shared" si="4"/>
        <v>192</v>
      </c>
    </row>
    <row r="273" spans="1:15" x14ac:dyDescent="0.25">
      <c r="A273" s="34">
        <v>2</v>
      </c>
      <c r="B273" s="1">
        <v>71</v>
      </c>
      <c r="C273" s="34">
        <v>83</v>
      </c>
      <c r="D273" s="34">
        <v>51</v>
      </c>
      <c r="E273" s="34">
        <v>75</v>
      </c>
      <c r="F273" s="34">
        <v>8</v>
      </c>
      <c r="G273" s="34">
        <v>62.748199999999997</v>
      </c>
      <c r="H273" s="34">
        <v>-0.92114799999999997</v>
      </c>
      <c r="I273" s="34">
        <v>28</v>
      </c>
      <c r="J273" s="34" t="s">
        <v>28</v>
      </c>
      <c r="K273" s="34">
        <v>62.581499999999998</v>
      </c>
      <c r="L273" s="34">
        <v>-0.92073199999999999</v>
      </c>
      <c r="M273" s="34">
        <v>11</v>
      </c>
      <c r="N273" s="34" t="s">
        <v>28</v>
      </c>
      <c r="O273">
        <f t="shared" si="4"/>
        <v>24</v>
      </c>
    </row>
    <row r="274" spans="1:15" x14ac:dyDescent="0.25">
      <c r="A274" s="34">
        <v>2</v>
      </c>
      <c r="B274" s="1">
        <v>72</v>
      </c>
      <c r="C274" s="34">
        <v>35</v>
      </c>
      <c r="D274" s="34">
        <v>-29</v>
      </c>
      <c r="E274" s="34">
        <v>19</v>
      </c>
      <c r="F274" s="34">
        <v>9</v>
      </c>
      <c r="G274" s="35">
        <v>-4.8616499999999998E-5</v>
      </c>
      <c r="H274" s="35">
        <v>4.7264099999999999E-14</v>
      </c>
      <c r="I274" s="34">
        <v>29</v>
      </c>
      <c r="J274" s="34" t="s">
        <v>29</v>
      </c>
      <c r="K274" s="35">
        <v>-4.0154599999999999E-7</v>
      </c>
      <c r="L274" s="35">
        <v>-3.9323799999999997E-18</v>
      </c>
      <c r="M274" s="34">
        <v>8</v>
      </c>
      <c r="N274" s="34" t="s">
        <v>29</v>
      </c>
      <c r="O274">
        <f t="shared" si="4"/>
        <v>48</v>
      </c>
    </row>
    <row r="275" spans="1:15" x14ac:dyDescent="0.25">
      <c r="A275" s="34">
        <v>2</v>
      </c>
      <c r="B275" s="1">
        <v>73</v>
      </c>
      <c r="C275" s="34">
        <v>-10</v>
      </c>
      <c r="D275" s="34">
        <v>-6</v>
      </c>
      <c r="E275" s="34">
        <v>6</v>
      </c>
      <c r="F275" s="34">
        <v>6</v>
      </c>
      <c r="G275" s="35">
        <v>9.8852500000000003E-5</v>
      </c>
      <c r="H275" s="35">
        <v>1.9542900000000001E-13</v>
      </c>
      <c r="I275" s="34">
        <v>26</v>
      </c>
      <c r="J275" s="34" t="s">
        <v>29</v>
      </c>
      <c r="K275" s="35">
        <v>1.6154400000000001E-11</v>
      </c>
      <c r="L275" s="35">
        <v>-7.15717E-18</v>
      </c>
      <c r="M275" s="34">
        <v>7</v>
      </c>
      <c r="N275" s="34" t="s">
        <v>29</v>
      </c>
      <c r="O275">
        <f t="shared" si="4"/>
        <v>12</v>
      </c>
    </row>
    <row r="276" spans="1:15" x14ac:dyDescent="0.25">
      <c r="A276" s="34">
        <v>2</v>
      </c>
      <c r="B276" s="1">
        <v>74</v>
      </c>
      <c r="C276" s="34">
        <v>88</v>
      </c>
      <c r="D276" s="34">
        <v>24</v>
      </c>
      <c r="E276" s="34">
        <v>72</v>
      </c>
      <c r="F276" s="34">
        <v>9</v>
      </c>
      <c r="G276" s="34">
        <v>62.748100000000001</v>
      </c>
      <c r="H276" s="34">
        <v>-0.92114799999999997</v>
      </c>
      <c r="I276" s="34">
        <v>29</v>
      </c>
      <c r="J276" s="34" t="s">
        <v>28</v>
      </c>
      <c r="K276" s="34">
        <v>48</v>
      </c>
      <c r="L276" s="34">
        <v>3.63833E-2</v>
      </c>
      <c r="M276" s="34">
        <v>11</v>
      </c>
      <c r="N276" s="34" t="s">
        <v>29</v>
      </c>
      <c r="O276">
        <f t="shared" si="4"/>
        <v>48</v>
      </c>
    </row>
    <row r="277" spans="1:15" x14ac:dyDescent="0.25">
      <c r="A277" s="34">
        <v>2</v>
      </c>
      <c r="B277" s="1">
        <v>75</v>
      </c>
      <c r="C277" s="34">
        <v>-56</v>
      </c>
      <c r="D277" s="34">
        <v>8</v>
      </c>
      <c r="E277" s="34">
        <v>200</v>
      </c>
      <c r="F277" s="34">
        <v>10</v>
      </c>
      <c r="G277" s="34">
        <v>62.748199999999997</v>
      </c>
      <c r="H277" s="34">
        <v>-0.92114799999999997</v>
      </c>
      <c r="I277" s="34">
        <v>32</v>
      </c>
      <c r="J277" s="34" t="s">
        <v>28</v>
      </c>
      <c r="K277" s="34">
        <v>8</v>
      </c>
      <c r="L277" s="34">
        <v>1.2800000000000001E-3</v>
      </c>
      <c r="M277" s="34">
        <v>8</v>
      </c>
      <c r="N277" s="34" t="s">
        <v>29</v>
      </c>
      <c r="O277">
        <f t="shared" si="4"/>
        <v>192</v>
      </c>
    </row>
    <row r="278" spans="1:15" x14ac:dyDescent="0.25">
      <c r="A278" s="34">
        <v>2</v>
      </c>
      <c r="B278" s="1">
        <v>76</v>
      </c>
      <c r="C278" s="34">
        <v>87</v>
      </c>
      <c r="D278" s="34">
        <v>23</v>
      </c>
      <c r="E278" s="34">
        <v>71</v>
      </c>
      <c r="F278" s="34">
        <v>9</v>
      </c>
      <c r="G278" s="34">
        <v>62.748100000000001</v>
      </c>
      <c r="H278" s="34">
        <v>-0.92114799999999997</v>
      </c>
      <c r="I278" s="34">
        <v>29</v>
      </c>
      <c r="J278" s="34" t="s">
        <v>28</v>
      </c>
      <c r="K278" s="34">
        <v>23</v>
      </c>
      <c r="L278" s="34">
        <v>1.05801E-2</v>
      </c>
      <c r="M278" s="34">
        <v>12</v>
      </c>
      <c r="N278" s="34" t="s">
        <v>29</v>
      </c>
      <c r="O278">
        <f t="shared" si="4"/>
        <v>48</v>
      </c>
    </row>
    <row r="279" spans="1:15" x14ac:dyDescent="0.25">
      <c r="A279" s="34">
        <v>2</v>
      </c>
      <c r="B279" s="1">
        <v>77</v>
      </c>
      <c r="C279" s="34">
        <v>14</v>
      </c>
      <c r="D279" s="34">
        <v>-18</v>
      </c>
      <c r="E279" s="34">
        <v>6</v>
      </c>
      <c r="F279" s="34">
        <v>8</v>
      </c>
      <c r="G279" s="35">
        <v>-5.6637400000000001E-5</v>
      </c>
      <c r="H279" s="35">
        <v>6.4148799999999998E-14</v>
      </c>
      <c r="I279" s="34">
        <v>28</v>
      </c>
      <c r="J279" s="34" t="s">
        <v>29</v>
      </c>
      <c r="K279" s="35">
        <v>1.6154400000000001E-11</v>
      </c>
      <c r="L279" s="35">
        <v>-7.15717E-18</v>
      </c>
      <c r="M279" s="34">
        <v>8</v>
      </c>
      <c r="N279" s="34" t="s">
        <v>29</v>
      </c>
      <c r="O279">
        <f t="shared" si="4"/>
        <v>24</v>
      </c>
    </row>
    <row r="280" spans="1:15" x14ac:dyDescent="0.25">
      <c r="A280" s="34">
        <v>2</v>
      </c>
      <c r="B280" s="1">
        <v>78</v>
      </c>
      <c r="C280" s="34">
        <v>93</v>
      </c>
      <c r="D280" s="34">
        <v>29</v>
      </c>
      <c r="E280" s="34">
        <v>77</v>
      </c>
      <c r="F280" s="34">
        <v>9</v>
      </c>
      <c r="G280" s="34">
        <v>62.748199999999997</v>
      </c>
      <c r="H280" s="34">
        <v>-0.92114799999999997</v>
      </c>
      <c r="I280" s="34">
        <v>29</v>
      </c>
      <c r="J280" s="34" t="s">
        <v>28</v>
      </c>
      <c r="K280" s="34">
        <v>50.704300000000003</v>
      </c>
      <c r="L280" s="34">
        <v>-2.9095099999999999E-2</v>
      </c>
      <c r="M280" s="34">
        <v>7</v>
      </c>
      <c r="N280" s="34" t="s">
        <v>29</v>
      </c>
      <c r="O280">
        <f t="shared" si="4"/>
        <v>48</v>
      </c>
    </row>
    <row r="281" spans="1:15" x14ac:dyDescent="0.25">
      <c r="A281" s="34">
        <v>2</v>
      </c>
      <c r="B281" s="1">
        <v>79</v>
      </c>
      <c r="C281" s="34">
        <v>-85</v>
      </c>
      <c r="D281" s="34">
        <v>-53</v>
      </c>
      <c r="E281" s="34">
        <v>43</v>
      </c>
      <c r="F281" s="34">
        <v>9</v>
      </c>
      <c r="G281" s="35">
        <v>-1.2627500000000001E-5</v>
      </c>
      <c r="H281" s="35">
        <v>3.1819100000000001E-15</v>
      </c>
      <c r="I281" s="34">
        <v>31</v>
      </c>
      <c r="J281" s="34" t="s">
        <v>29</v>
      </c>
      <c r="K281" s="35">
        <v>-4.81532E-6</v>
      </c>
      <c r="L281" s="35">
        <v>4.5658899999999997E-16</v>
      </c>
      <c r="M281" s="34">
        <v>52</v>
      </c>
      <c r="N281" s="34" t="s">
        <v>29</v>
      </c>
      <c r="O281">
        <f t="shared" si="4"/>
        <v>96</v>
      </c>
    </row>
    <row r="282" spans="1:15" x14ac:dyDescent="0.25">
      <c r="A282" s="34">
        <v>2</v>
      </c>
      <c r="B282" s="1">
        <v>80</v>
      </c>
      <c r="C282" s="34">
        <v>84</v>
      </c>
      <c r="D282" s="34">
        <v>52</v>
      </c>
      <c r="E282" s="34">
        <v>76</v>
      </c>
      <c r="F282" s="34">
        <v>8</v>
      </c>
      <c r="G282" s="34">
        <v>62.748199999999997</v>
      </c>
      <c r="H282" s="34">
        <v>-0.92114799999999997</v>
      </c>
      <c r="I282" s="34">
        <v>28</v>
      </c>
      <c r="J282" s="34" t="s">
        <v>28</v>
      </c>
      <c r="K282" s="34">
        <v>61.9985</v>
      </c>
      <c r="L282" s="34">
        <v>-0.91275600000000001</v>
      </c>
      <c r="M282" s="34">
        <v>11</v>
      </c>
      <c r="N282" s="34" t="s">
        <v>29</v>
      </c>
      <c r="O282">
        <f t="shared" si="4"/>
        <v>24</v>
      </c>
    </row>
    <row r="283" spans="1:15" x14ac:dyDescent="0.25">
      <c r="A283" s="34">
        <v>2</v>
      </c>
      <c r="B283" s="1">
        <v>81</v>
      </c>
      <c r="C283" s="34">
        <v>-80</v>
      </c>
      <c r="D283" s="34">
        <v>-48</v>
      </c>
      <c r="E283" s="34">
        <v>48</v>
      </c>
      <c r="F283" s="34">
        <v>9</v>
      </c>
      <c r="G283" s="35">
        <v>-1.2652099999999999E-15</v>
      </c>
      <c r="H283" s="35">
        <v>-7.15717E-18</v>
      </c>
      <c r="I283" s="34">
        <v>31</v>
      </c>
      <c r="J283" s="34" t="s">
        <v>29</v>
      </c>
      <c r="K283" s="34">
        <v>2.82212</v>
      </c>
      <c r="L283" s="34">
        <v>1.59288E-4</v>
      </c>
      <c r="M283" s="34">
        <v>7</v>
      </c>
      <c r="N283" s="34" t="s">
        <v>29</v>
      </c>
      <c r="O283">
        <f t="shared" si="4"/>
        <v>96</v>
      </c>
    </row>
    <row r="284" spans="1:15" x14ac:dyDescent="0.25">
      <c r="A284" s="34">
        <v>2</v>
      </c>
      <c r="B284" s="1">
        <v>82</v>
      </c>
      <c r="C284" s="34">
        <v>86</v>
      </c>
      <c r="D284" s="34">
        <v>54</v>
      </c>
      <c r="E284" s="34">
        <v>78</v>
      </c>
      <c r="F284" s="34">
        <v>8</v>
      </c>
      <c r="G284" s="34">
        <v>62.748199999999997</v>
      </c>
      <c r="H284" s="34">
        <v>-0.92114799999999997</v>
      </c>
      <c r="I284" s="34">
        <v>28</v>
      </c>
      <c r="J284" s="34" t="s">
        <v>28</v>
      </c>
      <c r="K284" s="34">
        <v>62.748199999999997</v>
      </c>
      <c r="L284" s="34">
        <v>-0.92114799999999997</v>
      </c>
      <c r="M284" s="34">
        <v>28</v>
      </c>
      <c r="N284" s="34" t="s">
        <v>28</v>
      </c>
      <c r="O284">
        <f t="shared" si="4"/>
        <v>24</v>
      </c>
    </row>
    <row r="285" spans="1:15" x14ac:dyDescent="0.25">
      <c r="A285" s="34">
        <v>2</v>
      </c>
      <c r="B285" s="1">
        <v>83</v>
      </c>
      <c r="C285" s="34">
        <v>76</v>
      </c>
      <c r="D285" s="34">
        <v>44</v>
      </c>
      <c r="E285" s="34">
        <v>68</v>
      </c>
      <c r="F285" s="34">
        <v>8</v>
      </c>
      <c r="G285" s="34">
        <v>62.748199999999997</v>
      </c>
      <c r="H285" s="34">
        <v>-0.92114799999999997</v>
      </c>
      <c r="I285" s="34">
        <v>28</v>
      </c>
      <c r="J285" s="34" t="s">
        <v>28</v>
      </c>
      <c r="K285" s="34">
        <v>62.506399999999999</v>
      </c>
      <c r="L285" s="34">
        <v>-0.92027099999999995</v>
      </c>
      <c r="M285" s="34">
        <v>15</v>
      </c>
      <c r="N285" s="34" t="s">
        <v>28</v>
      </c>
      <c r="O285">
        <f t="shared" si="4"/>
        <v>24</v>
      </c>
    </row>
    <row r="286" spans="1:15" x14ac:dyDescent="0.25">
      <c r="A286" s="34">
        <v>2</v>
      </c>
      <c r="B286" s="1">
        <v>84</v>
      </c>
      <c r="C286" s="34">
        <v>76</v>
      </c>
      <c r="D286" s="34">
        <v>44</v>
      </c>
      <c r="E286" s="34">
        <v>68</v>
      </c>
      <c r="F286" s="34">
        <v>8</v>
      </c>
      <c r="G286" s="34">
        <v>62.748199999999997</v>
      </c>
      <c r="H286" s="34">
        <v>-0.92114799999999997</v>
      </c>
      <c r="I286" s="34">
        <v>28</v>
      </c>
      <c r="J286" s="34" t="s">
        <v>28</v>
      </c>
      <c r="K286" s="34">
        <v>62.506399999999999</v>
      </c>
      <c r="L286" s="34">
        <v>-0.92027099999999995</v>
      </c>
      <c r="M286" s="34">
        <v>15</v>
      </c>
      <c r="N286" s="34" t="s">
        <v>28</v>
      </c>
      <c r="O286">
        <f t="shared" si="4"/>
        <v>24</v>
      </c>
    </row>
    <row r="287" spans="1:15" x14ac:dyDescent="0.25">
      <c r="A287" s="34">
        <v>2</v>
      </c>
      <c r="B287" s="1">
        <v>85</v>
      </c>
      <c r="C287" s="34">
        <v>23</v>
      </c>
      <c r="D287" s="34">
        <v>-9</v>
      </c>
      <c r="E287" s="34">
        <v>15</v>
      </c>
      <c r="F287" s="34">
        <v>8</v>
      </c>
      <c r="G287" s="35">
        <v>-4.7197899999999997E-5</v>
      </c>
      <c r="H287" s="35">
        <v>4.45456E-14</v>
      </c>
      <c r="I287" s="34">
        <v>28</v>
      </c>
      <c r="J287" s="34" t="s">
        <v>29</v>
      </c>
      <c r="K287" s="35">
        <v>1.65369E-12</v>
      </c>
      <c r="L287" s="35">
        <v>-7.15717E-18</v>
      </c>
      <c r="M287" s="34">
        <v>8</v>
      </c>
      <c r="N287" s="34" t="s">
        <v>29</v>
      </c>
      <c r="O287">
        <f t="shared" si="4"/>
        <v>24</v>
      </c>
    </row>
    <row r="288" spans="1:15" x14ac:dyDescent="0.25">
      <c r="A288" s="34">
        <v>2</v>
      </c>
      <c r="B288" s="1">
        <v>86</v>
      </c>
      <c r="C288" s="34">
        <v>-41</v>
      </c>
      <c r="D288" s="34">
        <v>-25</v>
      </c>
      <c r="E288" s="34">
        <v>23</v>
      </c>
      <c r="F288" s="34">
        <v>8</v>
      </c>
      <c r="G288" s="35">
        <v>-9.7232899999999999E-6</v>
      </c>
      <c r="H288" s="35">
        <v>1.88369E-15</v>
      </c>
      <c r="I288" s="34">
        <v>29</v>
      </c>
      <c r="J288" s="34" t="s">
        <v>29</v>
      </c>
      <c r="K288" s="35">
        <v>-2.11588E-10</v>
      </c>
      <c r="L288" s="35">
        <v>-7.1571600000000002E-18</v>
      </c>
      <c r="M288" s="34">
        <v>12</v>
      </c>
      <c r="N288" s="34" t="s">
        <v>29</v>
      </c>
      <c r="O288">
        <f t="shared" si="4"/>
        <v>48</v>
      </c>
    </row>
    <row r="289" spans="1:15" x14ac:dyDescent="0.25">
      <c r="A289" s="34">
        <v>2</v>
      </c>
      <c r="B289" s="1">
        <v>87</v>
      </c>
      <c r="C289" s="34">
        <v>3</v>
      </c>
      <c r="D289" s="34">
        <v>-1</v>
      </c>
      <c r="E289" s="34">
        <v>2</v>
      </c>
      <c r="F289" s="34">
        <v>5</v>
      </c>
      <c r="G289" s="35">
        <v>-3.23499E-5</v>
      </c>
      <c r="H289" s="35">
        <v>2.0923199999999999E-14</v>
      </c>
      <c r="I289" s="34">
        <v>24</v>
      </c>
      <c r="J289" s="34" t="s">
        <v>29</v>
      </c>
      <c r="K289" s="35">
        <v>2.49876E-13</v>
      </c>
      <c r="L289" s="35">
        <v>-7.15717E-18</v>
      </c>
      <c r="M289" s="34">
        <v>8</v>
      </c>
      <c r="N289" s="34" t="s">
        <v>29</v>
      </c>
      <c r="O289">
        <f t="shared" si="4"/>
        <v>3</v>
      </c>
    </row>
    <row r="290" spans="1:15" x14ac:dyDescent="0.25">
      <c r="A290" s="34">
        <v>2</v>
      </c>
      <c r="B290" s="1">
        <v>88</v>
      </c>
      <c r="C290" s="34">
        <v>-38</v>
      </c>
      <c r="D290" s="34">
        <v>-22</v>
      </c>
      <c r="E290" s="34">
        <v>26</v>
      </c>
      <c r="F290" s="34">
        <v>8</v>
      </c>
      <c r="G290" s="35">
        <v>1.9446600000000001E-5</v>
      </c>
      <c r="H290" s="35">
        <v>7.5562399999999999E-15</v>
      </c>
      <c r="I290" s="34">
        <v>29</v>
      </c>
      <c r="J290" s="34" t="s">
        <v>29</v>
      </c>
      <c r="K290" s="35">
        <v>2.24956E-13</v>
      </c>
      <c r="L290" s="35">
        <v>-7.15717E-18</v>
      </c>
      <c r="M290" s="34">
        <v>12</v>
      </c>
      <c r="N290" s="34" t="s">
        <v>29</v>
      </c>
      <c r="O290">
        <f t="shared" si="4"/>
        <v>48</v>
      </c>
    </row>
    <row r="291" spans="1:15" x14ac:dyDescent="0.25">
      <c r="A291" s="34">
        <v>2</v>
      </c>
      <c r="B291" s="1">
        <v>89</v>
      </c>
      <c r="C291" s="34">
        <v>-77</v>
      </c>
      <c r="D291" s="34">
        <v>-13</v>
      </c>
      <c r="E291" s="34">
        <v>179</v>
      </c>
      <c r="F291" s="34">
        <v>10</v>
      </c>
      <c r="G291" s="34">
        <v>62.748100000000001</v>
      </c>
      <c r="H291" s="34">
        <v>-0.92114799999999997</v>
      </c>
      <c r="I291" s="34">
        <v>32</v>
      </c>
      <c r="J291" s="34" t="s">
        <v>28</v>
      </c>
      <c r="K291" s="35">
        <v>-2.21853E-6</v>
      </c>
      <c r="L291" s="35">
        <v>9.1280099999999995E-17</v>
      </c>
      <c r="M291" s="34">
        <v>36</v>
      </c>
      <c r="N291" s="34" t="s">
        <v>29</v>
      </c>
      <c r="O291">
        <f t="shared" si="4"/>
        <v>192</v>
      </c>
    </row>
    <row r="292" spans="1:15" x14ac:dyDescent="0.25">
      <c r="A292" s="34">
        <v>2</v>
      </c>
      <c r="B292" s="1">
        <v>90</v>
      </c>
      <c r="C292" s="34">
        <v>49</v>
      </c>
      <c r="D292" s="34">
        <v>57</v>
      </c>
      <c r="E292" s="34">
        <v>81</v>
      </c>
      <c r="F292" s="34">
        <v>7</v>
      </c>
      <c r="G292" s="34">
        <v>62.748100000000001</v>
      </c>
      <c r="H292" s="34">
        <v>-0.92114799999999997</v>
      </c>
      <c r="I292" s="34">
        <v>28</v>
      </c>
      <c r="J292" s="34" t="s">
        <v>28</v>
      </c>
      <c r="K292" s="34">
        <v>62.877200000000002</v>
      </c>
      <c r="L292" s="34">
        <v>-0.92089799999999999</v>
      </c>
      <c r="M292" s="34">
        <v>15</v>
      </c>
      <c r="N292" s="34" t="s">
        <v>28</v>
      </c>
      <c r="O292">
        <f t="shared" si="4"/>
        <v>24</v>
      </c>
    </row>
    <row r="293" spans="1:15" x14ac:dyDescent="0.25">
      <c r="A293" s="34">
        <v>2</v>
      </c>
      <c r="B293" s="1">
        <v>91</v>
      </c>
      <c r="C293" s="34">
        <v>-31</v>
      </c>
      <c r="D293" s="34">
        <v>-15</v>
      </c>
      <c r="E293" s="34">
        <v>33</v>
      </c>
      <c r="F293" s="34">
        <v>8</v>
      </c>
      <c r="G293" s="35">
        <v>-5.8339799999999998E-6</v>
      </c>
      <c r="H293" s="35">
        <v>6.7354899999999995E-16</v>
      </c>
      <c r="I293" s="34">
        <v>29</v>
      </c>
      <c r="J293" s="34" t="s">
        <v>29</v>
      </c>
      <c r="K293" s="35">
        <v>1.0899900000000001E-12</v>
      </c>
      <c r="L293" s="35">
        <v>-7.15717E-18</v>
      </c>
      <c r="M293" s="34">
        <v>12</v>
      </c>
      <c r="N293" s="34" t="s">
        <v>29</v>
      </c>
      <c r="O293">
        <f t="shared" si="4"/>
        <v>48</v>
      </c>
    </row>
    <row r="294" spans="1:15" x14ac:dyDescent="0.25">
      <c r="A294" s="34">
        <v>2</v>
      </c>
      <c r="B294" s="1">
        <v>92</v>
      </c>
      <c r="C294" s="34">
        <v>85</v>
      </c>
      <c r="D294" s="34">
        <v>53</v>
      </c>
      <c r="E294" s="34">
        <v>77</v>
      </c>
      <c r="F294" s="34">
        <v>8</v>
      </c>
      <c r="G294" s="34">
        <v>62.748199999999997</v>
      </c>
      <c r="H294" s="34">
        <v>-0.92114799999999997</v>
      </c>
      <c r="I294" s="34">
        <v>28</v>
      </c>
      <c r="J294" s="34" t="s">
        <v>28</v>
      </c>
      <c r="K294" s="34">
        <v>62.748899999999999</v>
      </c>
      <c r="L294" s="34">
        <v>-0.92114799999999997</v>
      </c>
      <c r="M294" s="34">
        <v>23</v>
      </c>
      <c r="N294" s="34" t="s">
        <v>28</v>
      </c>
      <c r="O294">
        <f t="shared" si="4"/>
        <v>24</v>
      </c>
    </row>
    <row r="295" spans="1:15" x14ac:dyDescent="0.25">
      <c r="A295" s="34">
        <v>2</v>
      </c>
      <c r="B295" s="1">
        <v>93</v>
      </c>
      <c r="C295" s="34">
        <v>-85</v>
      </c>
      <c r="D295" s="34">
        <v>-53</v>
      </c>
      <c r="E295" s="34">
        <v>43</v>
      </c>
      <c r="F295" s="34">
        <v>9</v>
      </c>
      <c r="G295" s="35">
        <v>-1.2627500000000001E-5</v>
      </c>
      <c r="H295" s="35">
        <v>3.1819100000000001E-15</v>
      </c>
      <c r="I295" s="34">
        <v>31</v>
      </c>
      <c r="J295" s="34" t="s">
        <v>29</v>
      </c>
      <c r="K295" s="35">
        <v>-4.81532E-6</v>
      </c>
      <c r="L295" s="35">
        <v>4.5658899999999997E-16</v>
      </c>
      <c r="M295" s="34">
        <v>52</v>
      </c>
      <c r="N295" s="34" t="s">
        <v>29</v>
      </c>
      <c r="O295">
        <f t="shared" si="4"/>
        <v>96</v>
      </c>
    </row>
    <row r="296" spans="1:15" x14ac:dyDescent="0.25">
      <c r="A296" s="34">
        <v>2</v>
      </c>
      <c r="B296" s="1">
        <v>94</v>
      </c>
      <c r="C296" s="34">
        <v>83</v>
      </c>
      <c r="D296" s="34">
        <v>51</v>
      </c>
      <c r="E296" s="34">
        <v>75</v>
      </c>
      <c r="F296" s="34">
        <v>8</v>
      </c>
      <c r="G296" s="34">
        <v>62.748199999999997</v>
      </c>
      <c r="H296" s="34">
        <v>-0.92114799999999997</v>
      </c>
      <c r="I296" s="34">
        <v>28</v>
      </c>
      <c r="J296" s="34" t="s">
        <v>28</v>
      </c>
      <c r="K296" s="34">
        <v>62.581499999999998</v>
      </c>
      <c r="L296" s="34">
        <v>-0.92073199999999999</v>
      </c>
      <c r="M296" s="34">
        <v>11</v>
      </c>
      <c r="N296" s="34" t="s">
        <v>28</v>
      </c>
      <c r="O296">
        <f t="shared" si="4"/>
        <v>24</v>
      </c>
    </row>
    <row r="297" spans="1:15" x14ac:dyDescent="0.25">
      <c r="A297" s="34">
        <v>2</v>
      </c>
      <c r="B297" s="1">
        <v>95</v>
      </c>
      <c r="C297" s="34">
        <v>60</v>
      </c>
      <c r="D297" s="34">
        <v>61</v>
      </c>
      <c r="E297" s="34">
        <v>64</v>
      </c>
      <c r="F297" s="34">
        <v>4</v>
      </c>
      <c r="G297" s="34">
        <v>62.748199999999997</v>
      </c>
      <c r="H297" s="34">
        <v>-0.92114799999999997</v>
      </c>
      <c r="I297" s="34">
        <v>24</v>
      </c>
      <c r="J297" s="34" t="s">
        <v>28</v>
      </c>
      <c r="K297" s="34">
        <v>62.748199999999997</v>
      </c>
      <c r="L297" s="34">
        <v>-0.92114799999999997</v>
      </c>
      <c r="M297" s="34">
        <v>20</v>
      </c>
      <c r="N297" s="34" t="s">
        <v>28</v>
      </c>
      <c r="O297">
        <f t="shared" si="4"/>
        <v>3</v>
      </c>
    </row>
    <row r="298" spans="1:15" x14ac:dyDescent="0.25">
      <c r="A298" s="34">
        <v>2</v>
      </c>
      <c r="B298" s="1">
        <v>96</v>
      </c>
      <c r="C298" s="34">
        <v>-78</v>
      </c>
      <c r="D298" s="34">
        <v>-14</v>
      </c>
      <c r="E298" s="34">
        <v>178</v>
      </c>
      <c r="F298" s="34">
        <v>10</v>
      </c>
      <c r="G298" s="34">
        <v>62.748199999999997</v>
      </c>
      <c r="H298" s="34">
        <v>-0.92114799999999997</v>
      </c>
      <c r="I298" s="34">
        <v>32</v>
      </c>
      <c r="J298" s="34" t="s">
        <v>28</v>
      </c>
      <c r="K298" s="35">
        <v>-8.7665100000000003E-7</v>
      </c>
      <c r="L298" s="35">
        <v>8.2131699999999996E-18</v>
      </c>
      <c r="M298" s="34">
        <v>40</v>
      </c>
      <c r="N298" s="34" t="s">
        <v>29</v>
      </c>
      <c r="O298">
        <f t="shared" si="4"/>
        <v>192</v>
      </c>
    </row>
    <row r="299" spans="1:15" x14ac:dyDescent="0.25">
      <c r="A299" s="34">
        <v>2</v>
      </c>
      <c r="B299" s="1">
        <v>97</v>
      </c>
      <c r="C299" s="34">
        <v>49</v>
      </c>
      <c r="D299" s="34">
        <v>57</v>
      </c>
      <c r="E299" s="34">
        <v>81</v>
      </c>
      <c r="F299" s="34">
        <v>7</v>
      </c>
      <c r="G299" s="34">
        <v>62.748100000000001</v>
      </c>
      <c r="H299" s="34">
        <v>-0.92114799999999997</v>
      </c>
      <c r="I299" s="34">
        <v>28</v>
      </c>
      <c r="J299" s="34" t="s">
        <v>28</v>
      </c>
      <c r="K299" s="34">
        <v>62.877200000000002</v>
      </c>
      <c r="L299" s="34">
        <v>-0.92089799999999999</v>
      </c>
      <c r="M299" s="34">
        <v>15</v>
      </c>
      <c r="N299" s="34" t="s">
        <v>28</v>
      </c>
      <c r="O299">
        <f t="shared" si="4"/>
        <v>24</v>
      </c>
    </row>
    <row r="300" spans="1:15" x14ac:dyDescent="0.25">
      <c r="A300" s="34">
        <v>2</v>
      </c>
      <c r="B300" s="1">
        <v>98</v>
      </c>
      <c r="C300" s="34">
        <v>89</v>
      </c>
      <c r="D300" s="34">
        <v>25</v>
      </c>
      <c r="E300" s="34">
        <v>73</v>
      </c>
      <c r="F300" s="34">
        <v>9</v>
      </c>
      <c r="G300" s="34">
        <v>62.748100000000001</v>
      </c>
      <c r="H300" s="34">
        <v>-0.92114799999999997</v>
      </c>
      <c r="I300" s="34">
        <v>29</v>
      </c>
      <c r="J300" s="34" t="s">
        <v>28</v>
      </c>
      <c r="K300" s="34">
        <v>38.759399999999999</v>
      </c>
      <c r="L300" s="34">
        <v>3.2304699999999999E-2</v>
      </c>
      <c r="M300" s="34">
        <v>7</v>
      </c>
      <c r="N300" s="34" t="s">
        <v>29</v>
      </c>
      <c r="O300">
        <f t="shared" si="4"/>
        <v>48</v>
      </c>
    </row>
    <row r="301" spans="1:15" x14ac:dyDescent="0.25">
      <c r="A301" s="34">
        <v>2</v>
      </c>
      <c r="B301" s="1">
        <v>99</v>
      </c>
      <c r="C301" s="34">
        <v>-76</v>
      </c>
      <c r="D301" s="34">
        <v>-12</v>
      </c>
      <c r="E301" s="34">
        <v>180</v>
      </c>
      <c r="F301" s="34">
        <v>10</v>
      </c>
      <c r="G301" s="34">
        <v>62.748100000000001</v>
      </c>
      <c r="H301" s="34">
        <v>-0.92114799999999997</v>
      </c>
      <c r="I301" s="34">
        <v>32</v>
      </c>
      <c r="J301" s="34" t="s">
        <v>28</v>
      </c>
      <c r="K301" s="35">
        <v>-6.4707499999999996E-7</v>
      </c>
      <c r="L301" s="35">
        <v>1.21696E-18</v>
      </c>
      <c r="M301" s="34">
        <v>36</v>
      </c>
      <c r="N301" s="34" t="s">
        <v>29</v>
      </c>
      <c r="O301">
        <f t="shared" si="4"/>
        <v>192</v>
      </c>
    </row>
    <row r="302" spans="1:15" ht="15.75" thickBot="1" x14ac:dyDescent="0.3">
      <c r="A302" s="5">
        <v>2</v>
      </c>
      <c r="B302" s="3">
        <v>100</v>
      </c>
      <c r="C302" s="5">
        <v>27</v>
      </c>
      <c r="D302" s="5">
        <v>-37</v>
      </c>
      <c r="E302" s="5">
        <v>11</v>
      </c>
      <c r="F302" s="5">
        <v>9</v>
      </c>
      <c r="G302" s="38">
        <v>6.0284400000000002E-5</v>
      </c>
      <c r="H302" s="38">
        <v>7.2677100000000004E-14</v>
      </c>
      <c r="I302" s="5">
        <v>29</v>
      </c>
      <c r="J302" s="5" t="s">
        <v>29</v>
      </c>
      <c r="K302" s="38">
        <v>1.2007399999999999E-9</v>
      </c>
      <c r="L302" s="38">
        <v>-7.1571400000000007E-18</v>
      </c>
      <c r="M302" s="5">
        <v>8</v>
      </c>
      <c r="N302" s="5" t="s">
        <v>29</v>
      </c>
      <c r="O302">
        <f t="shared" si="4"/>
        <v>48</v>
      </c>
    </row>
    <row r="303" spans="1:15" ht="15.75" thickBot="1" x14ac:dyDescent="0.3">
      <c r="A303" s="57" t="s">
        <v>7</v>
      </c>
      <c r="B303" s="66"/>
      <c r="C303" s="66"/>
      <c r="D303" s="67">
        <v>-100</v>
      </c>
      <c r="E303" s="67">
        <v>100</v>
      </c>
      <c r="F303" s="67">
        <v>0</v>
      </c>
      <c r="G303" s="68">
        <v>-8.6674299999999997E-15</v>
      </c>
      <c r="H303" s="68">
        <v>-7.15717E-18</v>
      </c>
      <c r="I303" s="67">
        <v>32</v>
      </c>
      <c r="J303" s="67" t="s">
        <v>29</v>
      </c>
      <c r="K303" s="67">
        <v>49.999899999999997</v>
      </c>
      <c r="L303" s="67">
        <v>-4.6631700000000003E-3</v>
      </c>
      <c r="M303" s="67">
        <v>7</v>
      </c>
      <c r="N303" s="69" t="s">
        <v>29</v>
      </c>
      <c r="O303">
        <f t="shared" si="4"/>
        <v>200</v>
      </c>
    </row>
    <row r="304" spans="1:15" x14ac:dyDescent="0.25">
      <c r="O304">
        <f>AVERAGE(O3:O303)</f>
        <v>34.042791003322264</v>
      </c>
    </row>
  </sheetData>
  <mergeCells count="4">
    <mergeCell ref="A303:C303"/>
    <mergeCell ref="K1:N1"/>
    <mergeCell ref="A1:F1"/>
    <mergeCell ref="G1:J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tabSelected="1" workbookViewId="0">
      <selection activeCell="I16" sqref="I16"/>
    </sheetView>
  </sheetViews>
  <sheetFormatPr defaultRowHeight="15" x14ac:dyDescent="0.25"/>
  <cols>
    <col min="1" max="3" width="15.7109375" customWidth="1"/>
    <col min="4" max="4" width="20.42578125" customWidth="1"/>
    <col min="5" max="12" width="15.7109375" customWidth="1"/>
  </cols>
  <sheetData>
    <row r="1" spans="1:12" ht="30" customHeight="1" x14ac:dyDescent="0.25">
      <c r="A1" s="51" t="s">
        <v>0</v>
      </c>
      <c r="B1" s="53" t="s">
        <v>6</v>
      </c>
      <c r="C1" s="53"/>
      <c r="D1" s="54" t="s">
        <v>18</v>
      </c>
      <c r="E1" s="46" t="s">
        <v>8</v>
      </c>
      <c r="F1" s="47"/>
      <c r="G1" s="47"/>
      <c r="H1" s="49"/>
      <c r="I1" s="50" t="s">
        <v>9</v>
      </c>
      <c r="J1" s="44"/>
      <c r="K1" s="44"/>
      <c r="L1" s="45"/>
    </row>
    <row r="2" spans="1:12" ht="30" customHeight="1" thickBot="1" x14ac:dyDescent="0.3">
      <c r="A2" s="52"/>
      <c r="B2" s="27" t="s">
        <v>12</v>
      </c>
      <c r="C2" s="33" t="s">
        <v>3</v>
      </c>
      <c r="D2" s="55"/>
      <c r="E2" s="11" t="s">
        <v>10</v>
      </c>
      <c r="F2" s="5" t="s">
        <v>11</v>
      </c>
      <c r="G2" s="6" t="s">
        <v>3</v>
      </c>
      <c r="H2" s="33" t="s">
        <v>23</v>
      </c>
      <c r="I2" s="5" t="s">
        <v>10</v>
      </c>
      <c r="J2" s="5" t="s">
        <v>11</v>
      </c>
      <c r="K2" s="6" t="s">
        <v>3</v>
      </c>
      <c r="L2" s="20" t="s">
        <v>23</v>
      </c>
    </row>
    <row r="3" spans="1:12" x14ac:dyDescent="0.25">
      <c r="A3" s="81">
        <v>1.2</v>
      </c>
      <c r="B3" s="56">
        <v>10.76</v>
      </c>
      <c r="C3" s="82">
        <v>19.899999999999999</v>
      </c>
      <c r="D3" s="93" t="s">
        <v>20</v>
      </c>
      <c r="E3" s="37">
        <v>2.0499999999999999E-6</v>
      </c>
      <c r="F3" s="37">
        <v>5.6299999999999997E-14</v>
      </c>
      <c r="G3" s="36">
        <v>25.88</v>
      </c>
      <c r="H3" s="39">
        <v>67</v>
      </c>
      <c r="I3" s="37">
        <v>-3.63E-11</v>
      </c>
      <c r="J3" s="37">
        <v>-7.1600000000000004E-18</v>
      </c>
      <c r="K3" s="36">
        <v>8.16</v>
      </c>
      <c r="L3" s="40">
        <v>66</v>
      </c>
    </row>
    <row r="4" spans="1:12" x14ac:dyDescent="0.25">
      <c r="A4" s="83"/>
      <c r="B4" s="84"/>
      <c r="C4" s="85"/>
      <c r="D4" s="96" t="s">
        <v>19</v>
      </c>
      <c r="E4" s="34">
        <v>62.748100000000001</v>
      </c>
      <c r="F4" s="34">
        <v>-0.92114799999999997</v>
      </c>
      <c r="G4" s="34">
        <v>24.7</v>
      </c>
      <c r="H4" s="98">
        <v>33</v>
      </c>
      <c r="I4" s="34">
        <v>62.748100000000001</v>
      </c>
      <c r="J4" s="34">
        <v>-0.92114799999999997</v>
      </c>
      <c r="K4" s="34">
        <v>18.579999999999998</v>
      </c>
      <c r="L4" s="99">
        <v>33</v>
      </c>
    </row>
    <row r="5" spans="1:12" ht="15.75" thickBot="1" x14ac:dyDescent="0.3">
      <c r="A5" s="86"/>
      <c r="B5" s="57"/>
      <c r="C5" s="87"/>
      <c r="D5" s="94" t="s">
        <v>22</v>
      </c>
      <c r="E5" s="97"/>
      <c r="F5" s="97"/>
      <c r="G5" s="5"/>
      <c r="H5" s="100"/>
      <c r="I5" s="91"/>
      <c r="J5" s="92"/>
      <c r="K5" s="5"/>
      <c r="L5" s="100"/>
    </row>
    <row r="6" spans="1:12" x14ac:dyDescent="0.25">
      <c r="A6" s="81">
        <v>1.5</v>
      </c>
      <c r="B6" s="56">
        <v>28.92</v>
      </c>
      <c r="C6" s="82">
        <v>10.9</v>
      </c>
      <c r="D6" s="93" t="s">
        <v>20</v>
      </c>
      <c r="E6" s="37">
        <v>-9.5300000000000002E-6</v>
      </c>
      <c r="F6" s="37">
        <v>5.6700000000000001E-14</v>
      </c>
      <c r="G6" s="36">
        <v>27.79</v>
      </c>
      <c r="H6" s="101">
        <v>68</v>
      </c>
      <c r="I6" s="36">
        <v>-1.04968E-4</v>
      </c>
      <c r="J6" s="37">
        <v>2.2035699999999999E-13</v>
      </c>
      <c r="K6" s="36">
        <v>9.07</v>
      </c>
      <c r="L6" s="101">
        <v>73</v>
      </c>
    </row>
    <row r="7" spans="1:12" x14ac:dyDescent="0.25">
      <c r="A7" s="83"/>
      <c r="B7" s="84"/>
      <c r="C7" s="85"/>
      <c r="D7" s="96" t="s">
        <v>19</v>
      </c>
      <c r="E7" s="34">
        <v>62.748100000000001</v>
      </c>
      <c r="F7" s="34">
        <v>-0.92114799999999997</v>
      </c>
      <c r="G7" s="34">
        <v>26.31</v>
      </c>
      <c r="H7" s="99">
        <v>32</v>
      </c>
      <c r="I7" s="65">
        <v>62.748600000000003</v>
      </c>
      <c r="J7" s="65">
        <v>-0.92114799999999997</v>
      </c>
      <c r="K7" s="34">
        <v>21.11</v>
      </c>
      <c r="L7" s="99">
        <v>27</v>
      </c>
    </row>
    <row r="8" spans="1:12" ht="15.75" thickBot="1" x14ac:dyDescent="0.3">
      <c r="A8" s="86"/>
      <c r="B8" s="57"/>
      <c r="C8" s="87"/>
      <c r="D8" s="95" t="s">
        <v>22</v>
      </c>
      <c r="E8" s="97"/>
      <c r="F8" s="97"/>
      <c r="G8" s="5"/>
      <c r="H8" s="100"/>
      <c r="I8" s="91"/>
      <c r="J8" s="92"/>
      <c r="K8" s="5"/>
      <c r="L8" s="100"/>
    </row>
    <row r="9" spans="1:12" x14ac:dyDescent="0.25">
      <c r="A9" s="88"/>
      <c r="B9" s="89"/>
      <c r="C9" s="90"/>
      <c r="D9" s="93" t="s">
        <v>20</v>
      </c>
      <c r="E9" s="37">
        <v>-5.3199999999999999E-6</v>
      </c>
      <c r="F9" s="37">
        <v>5.5300000000000002E-14</v>
      </c>
      <c r="G9" s="36">
        <v>28.84</v>
      </c>
      <c r="H9" s="102">
        <v>51</v>
      </c>
      <c r="I9" s="36">
        <v>8.9661000000000008</v>
      </c>
      <c r="J9" s="36">
        <v>-4.3200000000000002E-2</v>
      </c>
      <c r="K9" s="36">
        <v>14.33</v>
      </c>
      <c r="L9" s="101">
        <v>75</v>
      </c>
    </row>
    <row r="10" spans="1:12" x14ac:dyDescent="0.25">
      <c r="A10" s="83">
        <v>2</v>
      </c>
      <c r="B10" s="84">
        <v>60.79</v>
      </c>
      <c r="C10" s="85">
        <v>8.4</v>
      </c>
      <c r="D10" s="96" t="s">
        <v>19</v>
      </c>
      <c r="E10" s="34">
        <v>62.748199999999997</v>
      </c>
      <c r="F10" s="34">
        <v>-0.92114799999999997</v>
      </c>
      <c r="G10" s="34">
        <v>28.59</v>
      </c>
      <c r="H10" s="98">
        <v>49</v>
      </c>
      <c r="I10" s="34">
        <v>62.735399999999998</v>
      </c>
      <c r="J10" s="34">
        <v>-0.92100000000000004</v>
      </c>
      <c r="K10" s="34">
        <v>19.239999999999998</v>
      </c>
      <c r="L10" s="99">
        <v>25</v>
      </c>
    </row>
    <row r="11" spans="1:12" ht="15.75" thickBot="1" x14ac:dyDescent="0.3">
      <c r="A11" s="86"/>
      <c r="B11" s="57"/>
      <c r="C11" s="87"/>
      <c r="D11" s="95" t="s">
        <v>22</v>
      </c>
      <c r="E11" s="97"/>
      <c r="F11" s="97"/>
      <c r="G11" s="5"/>
      <c r="H11" s="100"/>
      <c r="I11" s="91"/>
      <c r="J11" s="92"/>
      <c r="K11" s="5"/>
      <c r="L11" s="100"/>
    </row>
  </sheetData>
  <mergeCells count="20">
    <mergeCell ref="E1:H1"/>
    <mergeCell ref="I1:L1"/>
    <mergeCell ref="A1:A2"/>
    <mergeCell ref="B1:C1"/>
    <mergeCell ref="D1:D2"/>
    <mergeCell ref="C3:C5"/>
    <mergeCell ref="C6:C8"/>
    <mergeCell ref="C10:C11"/>
    <mergeCell ref="A3:A5"/>
    <mergeCell ref="A6:A8"/>
    <mergeCell ref="A10:A11"/>
    <mergeCell ref="B3:B5"/>
    <mergeCell ref="B6:B8"/>
    <mergeCell ref="B10:B11"/>
    <mergeCell ref="E5:F5"/>
    <mergeCell ref="E8:F8"/>
    <mergeCell ref="E11:F11"/>
    <mergeCell ref="I5:J5"/>
    <mergeCell ref="I8:J8"/>
    <mergeCell ref="I11:J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2"/>
  <sheetViews>
    <sheetView workbookViewId="0">
      <selection sqref="A1:A2"/>
    </sheetView>
  </sheetViews>
  <sheetFormatPr defaultRowHeight="15" x14ac:dyDescent="0.25"/>
  <cols>
    <col min="1" max="1" width="10.7109375" customWidth="1"/>
    <col min="2" max="3" width="20.7109375" customWidth="1"/>
  </cols>
  <sheetData>
    <row r="1" spans="1:3" ht="15" customHeight="1" x14ac:dyDescent="0.25">
      <c r="A1" s="56" t="s">
        <v>13</v>
      </c>
      <c r="B1" s="48" t="s">
        <v>12</v>
      </c>
      <c r="C1" s="58"/>
    </row>
    <row r="2" spans="1:3" ht="45" customHeight="1" thickBot="1" x14ac:dyDescent="0.3">
      <c r="A2" s="57"/>
      <c r="B2" s="8" t="s">
        <v>8</v>
      </c>
      <c r="C2" s="7" t="s">
        <v>9</v>
      </c>
    </row>
    <row r="3" spans="1:3" x14ac:dyDescent="0.25">
      <c r="A3" s="16">
        <v>1</v>
      </c>
      <c r="B3" s="14"/>
      <c r="C3" s="13"/>
    </row>
    <row r="4" spans="1:3" x14ac:dyDescent="0.25">
      <c r="A4" s="12">
        <v>2</v>
      </c>
      <c r="B4" s="9"/>
      <c r="C4" s="2"/>
    </row>
    <row r="5" spans="1:3" x14ac:dyDescent="0.25">
      <c r="A5" s="12">
        <v>3</v>
      </c>
      <c r="B5" s="9"/>
      <c r="C5" s="2"/>
    </row>
    <row r="6" spans="1:3" x14ac:dyDescent="0.25">
      <c r="A6" s="12">
        <v>4</v>
      </c>
      <c r="B6" s="9"/>
      <c r="C6" s="2"/>
    </row>
    <row r="7" spans="1:3" x14ac:dyDescent="0.25">
      <c r="A7" s="12">
        <v>5</v>
      </c>
      <c r="B7" s="9"/>
      <c r="C7" s="2"/>
    </row>
    <row r="8" spans="1:3" x14ac:dyDescent="0.25">
      <c r="A8" s="12">
        <v>6</v>
      </c>
      <c r="B8" s="9"/>
      <c r="C8" s="2"/>
    </row>
    <row r="9" spans="1:3" x14ac:dyDescent="0.25">
      <c r="A9" s="12">
        <v>7</v>
      </c>
      <c r="B9" s="9"/>
      <c r="C9" s="2"/>
    </row>
    <row r="10" spans="1:3" x14ac:dyDescent="0.25">
      <c r="A10" s="12">
        <v>8</v>
      </c>
      <c r="B10" s="9"/>
      <c r="C10" s="2"/>
    </row>
    <row r="11" spans="1:3" x14ac:dyDescent="0.25">
      <c r="A11" s="12">
        <v>9</v>
      </c>
      <c r="B11" s="9"/>
      <c r="C11" s="2"/>
    </row>
    <row r="12" spans="1:3" x14ac:dyDescent="0.25">
      <c r="A12" s="21" t="s">
        <v>14</v>
      </c>
      <c r="B12" s="9"/>
      <c r="C12" s="2"/>
    </row>
  </sheetData>
  <mergeCells count="2">
    <mergeCell ref="A1:A2"/>
    <mergeCell ref="B1:C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workbookViewId="0">
      <selection sqref="A1:C1"/>
    </sheetView>
  </sheetViews>
  <sheetFormatPr defaultRowHeight="15" x14ac:dyDescent="0.25"/>
  <cols>
    <col min="1" max="6" width="15.7109375" customWidth="1"/>
  </cols>
  <sheetData>
    <row r="1" spans="1:6" ht="30" customHeight="1" x14ac:dyDescent="0.25">
      <c r="A1" s="46" t="s">
        <v>8</v>
      </c>
      <c r="B1" s="47"/>
      <c r="C1" s="49"/>
      <c r="D1" s="50" t="s">
        <v>9</v>
      </c>
      <c r="E1" s="44"/>
      <c r="F1" s="45"/>
    </row>
    <row r="2" spans="1:6" ht="30" customHeight="1" thickBot="1" x14ac:dyDescent="0.3">
      <c r="A2" s="19" t="s">
        <v>24</v>
      </c>
      <c r="B2" s="18" t="s">
        <v>11</v>
      </c>
      <c r="C2" s="20" t="s">
        <v>3</v>
      </c>
      <c r="D2" s="17" t="s">
        <v>24</v>
      </c>
      <c r="E2" s="18" t="s">
        <v>11</v>
      </c>
      <c r="F2" s="20" t="s">
        <v>3</v>
      </c>
    </row>
    <row r="3" spans="1:6" ht="15.75" thickBot="1" x14ac:dyDescent="0.3">
      <c r="A3" s="22"/>
      <c r="B3" s="23"/>
      <c r="C3" s="24"/>
      <c r="D3" s="25"/>
      <c r="E3" s="23"/>
      <c r="F3" s="24"/>
    </row>
  </sheetData>
  <mergeCells count="2">
    <mergeCell ref="A1:C1"/>
    <mergeCell ref="D1:F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workbookViewId="0">
      <selection sqref="A1:A2"/>
    </sheetView>
  </sheetViews>
  <sheetFormatPr defaultRowHeight="15" x14ac:dyDescent="0.25"/>
  <cols>
    <col min="1" max="7" width="12.7109375" customWidth="1"/>
  </cols>
  <sheetData>
    <row r="1" spans="1:7" ht="18" x14ac:dyDescent="0.35">
      <c r="A1" s="63" t="s">
        <v>15</v>
      </c>
      <c r="B1" s="59" t="s">
        <v>25</v>
      </c>
      <c r="C1" s="60"/>
      <c r="D1" s="61" t="s">
        <v>26</v>
      </c>
      <c r="E1" s="62"/>
      <c r="F1" s="59" t="s">
        <v>27</v>
      </c>
      <c r="G1" s="62"/>
    </row>
    <row r="2" spans="1:7" ht="15.75" thickBot="1" x14ac:dyDescent="0.3">
      <c r="A2" s="64"/>
      <c r="B2" s="31" t="s">
        <v>16</v>
      </c>
      <c r="C2" s="32" t="s">
        <v>17</v>
      </c>
      <c r="D2" s="26" t="s">
        <v>16</v>
      </c>
      <c r="E2" s="30" t="s">
        <v>17</v>
      </c>
      <c r="F2" s="31" t="s">
        <v>16</v>
      </c>
      <c r="G2" s="30" t="s">
        <v>17</v>
      </c>
    </row>
    <row r="3" spans="1:7" x14ac:dyDescent="0.25">
      <c r="A3" s="28"/>
      <c r="B3" s="14"/>
      <c r="C3" s="15"/>
      <c r="D3" s="16"/>
      <c r="E3" s="13"/>
      <c r="F3" s="14"/>
      <c r="G3" s="13"/>
    </row>
    <row r="4" spans="1:7" x14ac:dyDescent="0.25">
      <c r="A4" s="29"/>
      <c r="B4" s="9"/>
      <c r="C4" s="10"/>
      <c r="D4" s="12"/>
      <c r="E4" s="2"/>
      <c r="F4" s="9"/>
      <c r="G4" s="2"/>
    </row>
    <row r="5" spans="1:7" x14ac:dyDescent="0.25">
      <c r="A5" s="29"/>
      <c r="B5" s="9"/>
      <c r="C5" s="10"/>
      <c r="D5" s="12"/>
      <c r="E5" s="2"/>
      <c r="F5" s="9"/>
      <c r="G5" s="2"/>
    </row>
    <row r="6" spans="1:7" x14ac:dyDescent="0.25">
      <c r="A6" s="29"/>
      <c r="B6" s="9"/>
      <c r="C6" s="10"/>
      <c r="D6" s="12"/>
      <c r="E6" s="2"/>
      <c r="F6" s="9"/>
      <c r="G6" s="2"/>
    </row>
    <row r="7" spans="1:7" x14ac:dyDescent="0.25">
      <c r="A7" s="29"/>
      <c r="B7" s="9"/>
      <c r="C7" s="10"/>
      <c r="D7" s="12"/>
      <c r="E7" s="2"/>
      <c r="F7" s="9"/>
      <c r="G7" s="2"/>
    </row>
    <row r="8" spans="1:7" x14ac:dyDescent="0.25">
      <c r="A8" s="29"/>
      <c r="B8" s="9"/>
      <c r="C8" s="10"/>
      <c r="D8" s="12"/>
      <c r="E8" s="2"/>
      <c r="F8" s="9"/>
      <c r="G8" s="2"/>
    </row>
    <row r="9" spans="1:7" x14ac:dyDescent="0.25">
      <c r="A9" s="29"/>
      <c r="B9" s="9"/>
      <c r="C9" s="10"/>
      <c r="D9" s="12"/>
      <c r="E9" s="2"/>
      <c r="F9" s="9"/>
      <c r="G9" s="2"/>
    </row>
    <row r="10" spans="1:7" x14ac:dyDescent="0.25">
      <c r="A10" s="29"/>
      <c r="B10" s="9"/>
      <c r="C10" s="10"/>
      <c r="D10" s="12"/>
      <c r="E10" s="2"/>
      <c r="F10" s="9"/>
      <c r="G10" s="2"/>
    </row>
    <row r="11" spans="1:7" x14ac:dyDescent="0.25">
      <c r="A11" s="29"/>
      <c r="B11" s="9"/>
      <c r="C11" s="10"/>
      <c r="D11" s="12"/>
      <c r="E11" s="2"/>
      <c r="F11" s="9"/>
      <c r="G11" s="2"/>
    </row>
    <row r="12" spans="1:7" x14ac:dyDescent="0.25">
      <c r="A12" s="29"/>
      <c r="B12" s="9"/>
      <c r="C12" s="10"/>
      <c r="D12" s="12"/>
      <c r="E12" s="2"/>
      <c r="F12" s="9"/>
      <c r="G12" s="2"/>
    </row>
    <row r="13" spans="1:7" x14ac:dyDescent="0.25">
      <c r="A13" s="29"/>
      <c r="B13" s="9"/>
      <c r="C13" s="10"/>
      <c r="D13" s="12"/>
      <c r="E13" s="2"/>
      <c r="F13" s="9"/>
      <c r="G13" s="2"/>
    </row>
    <row r="14" spans="1:7" x14ac:dyDescent="0.25">
      <c r="A14" s="29"/>
      <c r="B14" s="9"/>
      <c r="C14" s="10"/>
      <c r="D14" s="12"/>
      <c r="E14" s="2"/>
      <c r="F14" s="9"/>
      <c r="G14" s="2"/>
    </row>
    <row r="15" spans="1:7" x14ac:dyDescent="0.25">
      <c r="A15" s="29"/>
      <c r="B15" s="9"/>
      <c r="C15" s="10"/>
      <c r="D15" s="12"/>
      <c r="E15" s="2"/>
      <c r="F15" s="9"/>
      <c r="G15" s="2"/>
    </row>
    <row r="16" spans="1:7" x14ac:dyDescent="0.25">
      <c r="A16" s="29"/>
      <c r="B16" s="9"/>
      <c r="C16" s="10"/>
      <c r="D16" s="12"/>
      <c r="E16" s="2"/>
      <c r="F16" s="9"/>
      <c r="G16" s="2"/>
    </row>
    <row r="17" spans="1:7" x14ac:dyDescent="0.25">
      <c r="A17" s="29"/>
      <c r="B17" s="9"/>
      <c r="C17" s="10"/>
      <c r="D17" s="12"/>
      <c r="E17" s="2"/>
      <c r="F17" s="9"/>
      <c r="G17" s="2"/>
    </row>
    <row r="18" spans="1:7" x14ac:dyDescent="0.25">
      <c r="A18" s="29"/>
      <c r="B18" s="9"/>
      <c r="C18" s="10"/>
      <c r="D18" s="12"/>
      <c r="E18" s="2"/>
      <c r="F18" s="9"/>
      <c r="G18" s="2"/>
    </row>
    <row r="19" spans="1:7" x14ac:dyDescent="0.25">
      <c r="A19" s="29"/>
      <c r="B19" s="9"/>
      <c r="C19" s="10"/>
      <c r="D19" s="12"/>
      <c r="E19" s="2"/>
      <c r="F19" s="9"/>
      <c r="G19" s="2"/>
    </row>
    <row r="20" spans="1:7" x14ac:dyDescent="0.25">
      <c r="A20" s="29"/>
      <c r="B20" s="9"/>
      <c r="C20" s="10"/>
      <c r="D20" s="12"/>
      <c r="E20" s="2"/>
      <c r="F20" s="9"/>
      <c r="G20" s="2"/>
    </row>
    <row r="21" spans="1:7" x14ac:dyDescent="0.25">
      <c r="A21" s="29"/>
      <c r="B21" s="9"/>
      <c r="C21" s="10"/>
      <c r="D21" s="12"/>
      <c r="E21" s="2"/>
      <c r="F21" s="9"/>
      <c r="G21" s="2"/>
    </row>
    <row r="22" spans="1:7" x14ac:dyDescent="0.25">
      <c r="A22" s="29"/>
      <c r="B22" s="9"/>
      <c r="C22" s="10"/>
      <c r="D22" s="12"/>
      <c r="E22" s="2"/>
      <c r="F22" s="9"/>
      <c r="G22" s="2"/>
    </row>
    <row r="23" spans="1:7" x14ac:dyDescent="0.25">
      <c r="A23" s="29"/>
      <c r="B23" s="9"/>
      <c r="C23" s="10"/>
      <c r="D23" s="12"/>
      <c r="E23" s="2"/>
      <c r="F23" s="9"/>
      <c r="G23" s="2"/>
    </row>
    <row r="24" spans="1:7" x14ac:dyDescent="0.25">
      <c r="A24" s="29"/>
      <c r="B24" s="9"/>
      <c r="C24" s="10"/>
      <c r="D24" s="12"/>
      <c r="E24" s="2"/>
      <c r="F24" s="9"/>
      <c r="G24" s="2"/>
    </row>
    <row r="25" spans="1:7" x14ac:dyDescent="0.25">
      <c r="A25" s="29"/>
      <c r="B25" s="9"/>
      <c r="C25" s="10"/>
      <c r="D25" s="12"/>
      <c r="E25" s="2"/>
      <c r="F25" s="9"/>
      <c r="G25" s="2"/>
    </row>
    <row r="26" spans="1:7" x14ac:dyDescent="0.25">
      <c r="A26" s="29"/>
      <c r="B26" s="9"/>
      <c r="C26" s="10"/>
      <c r="D26" s="12"/>
      <c r="E26" s="2"/>
      <c r="F26" s="9"/>
      <c r="G26" s="2"/>
    </row>
    <row r="27" spans="1:7" x14ac:dyDescent="0.25">
      <c r="A27" s="29"/>
      <c r="B27" s="9"/>
      <c r="C27" s="10"/>
      <c r="D27" s="12"/>
      <c r="E27" s="2"/>
      <c r="F27" s="9"/>
      <c r="G27" s="2"/>
    </row>
    <row r="28" spans="1:7" x14ac:dyDescent="0.25">
      <c r="A28" s="29"/>
      <c r="B28" s="9"/>
      <c r="C28" s="10"/>
      <c r="D28" s="12"/>
      <c r="E28" s="2"/>
      <c r="F28" s="9"/>
      <c r="G28" s="2"/>
    </row>
  </sheetData>
  <mergeCells count="4">
    <mergeCell ref="B1:C1"/>
    <mergeCell ref="D1:E1"/>
    <mergeCell ref="F1:G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Tabela 1</vt:lpstr>
      <vt:lpstr>Tabela 2</vt:lpstr>
      <vt:lpstr>Wykres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2025-10-24T17:03:50Z</dcterms:modified>
</cp:coreProperties>
</file>